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9FA71BD-E352-4960-9F9D-065B65565A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an-Servet-Artım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7" l="1"/>
</calcChain>
</file>

<file path=xl/sharedStrings.xml><?xml version="1.0" encoding="utf-8"?>
<sst xmlns="http://schemas.openxmlformats.org/spreadsheetml/2006/main" count="197" uniqueCount="184">
  <si>
    <t>TR</t>
  </si>
  <si>
    <r>
      <t>Türkiye -</t>
    </r>
    <r>
      <rPr>
        <sz val="8"/>
        <rFont val="Tahoma"/>
        <family val="2"/>
        <charset val="162"/>
      </rPr>
      <t>Turkey</t>
    </r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</si>
  <si>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</si>
  <si>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</si>
  <si>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</si>
  <si>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</si>
  <si>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</si>
  <si>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</si>
  <si>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</si>
  <si>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</si>
  <si>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</si>
  <si>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</si>
  <si>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</si>
  <si>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</si>
  <si>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</si>
  <si>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</si>
  <si>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</si>
  <si>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</si>
  <si>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</si>
  <si>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</si>
  <si>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</si>
  <si>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</si>
  <si>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</si>
  <si>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</si>
  <si>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</si>
  <si>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</si>
  <si>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</si>
  <si>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</si>
  <si>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</si>
  <si>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</si>
  <si>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</si>
  <si>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</si>
  <si>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</si>
  <si>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</si>
  <si>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</si>
  <si>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</si>
  <si>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</si>
  <si>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</si>
  <si>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</si>
  <si>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</si>
  <si>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</si>
  <si>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</si>
  <si>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</si>
  <si>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</si>
  <si>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</si>
  <si>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</si>
  <si>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</si>
  <si>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</si>
  <si>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</si>
  <si>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</si>
  <si>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</si>
  <si>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</si>
  <si>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</si>
  <si>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</si>
  <si>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</si>
  <si>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</si>
  <si>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</si>
  <si>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</si>
  <si>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</si>
  <si>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</si>
  <si>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</si>
  <si>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</si>
  <si>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</si>
  <si>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</si>
  <si>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</si>
  <si>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</si>
  <si>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</si>
  <si>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</si>
  <si>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</si>
  <si>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</si>
  <si>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</si>
  <si>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</si>
  <si>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</si>
  <si>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</si>
  <si>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</si>
  <si>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</si>
  <si>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</si>
  <si>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</si>
  <si>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</si>
  <si>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</si>
  <si>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</si>
  <si>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</si>
  <si>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</si>
  <si>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</si>
  <si>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</si>
  <si>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</si>
  <si>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</si>
  <si>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</si>
  <si>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</si>
  <si>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</si>
  <si>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</si>
  <si>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</si>
  <si>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</si>
  <si>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</si>
  <si>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</si>
  <si>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</si>
  <si>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</si>
  <si>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</si>
  <si>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</si>
  <si>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</si>
  <si>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</si>
  <si>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</si>
  <si>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</si>
  <si>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</si>
  <si>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</si>
  <si>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</si>
  <si>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</si>
  <si>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</si>
  <si>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</si>
  <si>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</si>
  <si>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</si>
  <si>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</si>
  <si>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</si>
  <si>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</si>
  <si>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</si>
  <si>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</si>
  <si>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</si>
  <si>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</si>
  <si>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</si>
  <si>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</si>
  <si>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</si>
  <si>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</si>
  <si>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</si>
  <si>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</si>
  <si>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</si>
  <si>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</si>
  <si>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</si>
  <si>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</si>
  <si>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</si>
  <si>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</si>
  <si>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</si>
  <si>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</si>
  <si>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</si>
  <si>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</si>
  <si>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</si>
  <si>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</si>
  <si>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</si>
  <si>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</si>
  <si>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</si>
  <si>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</si>
  <si>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</si>
  <si>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</si>
  <si>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</si>
  <si>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</si>
  <si>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</si>
  <si>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</si>
  <si>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</si>
  <si>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</si>
  <si>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</si>
  <si>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</si>
  <si>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</si>
  <si>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</si>
  <si>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</si>
  <si>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</si>
  <si>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</si>
  <si>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</si>
  <si>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</si>
  <si>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</si>
  <si>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</si>
  <si>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</si>
  <si>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</si>
  <si>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</si>
  <si>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</si>
  <si>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</si>
  <si>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r>
      <t xml:space="preserve">İl Genel Alanı            </t>
    </r>
    <r>
      <rPr>
        <sz val="8"/>
        <rFont val="Tahoma"/>
        <family val="2"/>
        <charset val="162"/>
      </rPr>
      <t>Provincial area</t>
    </r>
  </si>
  <si>
    <r>
      <t xml:space="preserve">Hektar- </t>
    </r>
    <r>
      <rPr>
        <sz val="8"/>
        <rFont val="Tahoma"/>
        <family val="2"/>
        <charset val="162"/>
      </rPr>
      <t>Hectare</t>
    </r>
  </si>
  <si>
    <r>
      <t xml:space="preserve">Toplam              </t>
    </r>
    <r>
      <rPr>
        <sz val="8"/>
        <color theme="1"/>
        <rFont val="Tahoma"/>
        <family val="2"/>
        <charset val="162"/>
      </rPr>
      <t>Total</t>
    </r>
  </si>
  <si>
    <t>m³</t>
  </si>
  <si>
    <r>
      <t xml:space="preserve">Normal                   </t>
    </r>
    <r>
      <rPr>
        <sz val="8"/>
        <rFont val="Tahoma"/>
        <family val="2"/>
        <charset val="162"/>
      </rPr>
      <t>Productive</t>
    </r>
  </si>
  <si>
    <r>
      <t xml:space="preserve">Boşluklu kapalı                              </t>
    </r>
    <r>
      <rPr>
        <sz val="8"/>
        <rFont val="Tahoma"/>
        <family val="2"/>
        <charset val="162"/>
      </rPr>
      <t>Degraded</t>
    </r>
  </si>
  <si>
    <r>
      <t xml:space="preserve">Ormanlık Alan </t>
    </r>
    <r>
      <rPr>
        <sz val="8"/>
        <rFont val="Tahoma"/>
        <family val="2"/>
        <charset val="162"/>
      </rPr>
      <t xml:space="preserve">                             Forest land</t>
    </r>
  </si>
  <si>
    <t>%</t>
  </si>
  <si>
    <r>
      <rPr>
        <b/>
        <sz val="8"/>
        <rFont val="Tahoma"/>
        <family val="2"/>
        <charset val="162"/>
      </rPr>
      <t>Artım</t>
    </r>
    <r>
      <rPr>
        <sz val="8"/>
        <rFont val="Tahoma"/>
        <family val="2"/>
        <charset val="162"/>
      </rPr>
      <t xml:space="preserve"> - Increment</t>
    </r>
  </si>
  <si>
    <r>
      <t xml:space="preserve">Servet - </t>
    </r>
    <r>
      <rPr>
        <sz val="8"/>
        <rFont val="Tahoma"/>
        <family val="2"/>
        <charset val="162"/>
      </rPr>
      <t>Growing stock</t>
    </r>
  </si>
  <si>
    <r>
      <t xml:space="preserve">Orman Alanı - </t>
    </r>
    <r>
      <rPr>
        <sz val="8"/>
        <rFont val="Tahoma"/>
        <family val="2"/>
        <charset val="162"/>
      </rPr>
      <t>Forest Area</t>
    </r>
  </si>
  <si>
    <t>ha</t>
  </si>
  <si>
    <t>(1) İstatistiki Bölge Birimleri Sınıflaması.</t>
  </si>
  <si>
    <t>(2)İl genel alanı Orman Genel Müdürlüğü' nün kayıtlarından derlenmiştir.</t>
  </si>
  <si>
    <t>(1) Statistical Regions.</t>
  </si>
  <si>
    <t>(2)The general area of ​​the province has been compiled from the records of the General Directorate of Forestry.</t>
  </si>
  <si>
    <t>1.6 Ormanların alan, servet ve cari artımının il düzeyinde dağılımı, 2024</t>
  </si>
  <si>
    <t xml:space="preserve">     Distribution of forest land, growing stock and increment by provinces, 2024</t>
  </si>
  <si>
    <t>-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</si>
  <si>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, 2005-3. Düzey         </t>
    </r>
    <r>
      <rPr>
        <sz val="8"/>
        <rFont val="Tahoma"/>
        <family val="2"/>
        <charset val="162"/>
      </rPr>
      <t>SR</t>
    </r>
    <r>
      <rPr>
        <b/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 - Level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</si>
</sst>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5" formatCode="###\ ###\ ###\ ###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9"/>
      <name val="Tahoma"/>
      <family val="2"/>
      <charset val="162"/>
    </font>
    <font>
      <sz val="10"/>
      <name val="Tahoma"/>
      <family val="2"/>
      <charset val="162"/>
    </font>
    <font>
      <sz val="9"/>
      <name val="Tahoma"/>
      <family val="2"/>
      <charset val="162"/>
    </font>
    <font>
      <sz val="8"/>
      <name val="Tahoma"/>
      <family val="2"/>
      <charset val="162"/>
    </font>
    <font>
      <b/>
      <sz val="8"/>
      <name val="Tahoma"/>
      <family val="2"/>
      <charset val="162"/>
    </font>
    <font>
      <sz val="10"/>
      <name val="Arial Tur"/>
      <charset val="162"/>
    </font>
    <font>
      <sz val="7"/>
      <name val="Tahoma"/>
      <family val="2"/>
      <charset val="162"/>
    </font>
    <font>
      <b/>
      <vertAlign val="superscript"/>
      <sz val="8"/>
      <name val="Tahoma"/>
      <family val="2"/>
      <charset val="162"/>
    </font>
    <font>
      <sz val="8"/>
      <color theme="1"/>
      <name val="Calibri"/>
      <family val="2"/>
      <scheme val="minor"/>
    </font>
    <font>
      <sz val="8"/>
      <color theme="1"/>
      <name val="Tahoma"/>
      <family val="2"/>
      <charset val="162"/>
    </font>
    <font>
      <sz val="10"/>
      <name val="Arial"/>
      <family val="2"/>
      <charset val="162"/>
    </font>
    <font>
      <b/>
      <sz val="8"/>
      <color theme="1"/>
      <name val="Tahoma"/>
      <family val="2"/>
      <charset val="162"/>
    </font>
    <font>
      <b/>
      <sz val="7"/>
      <name val="Tahoma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7"/>
      <color theme="1"/>
      <name val="Tahoma"/>
      <family val="2"/>
      <charset val="162"/>
    </font>
    <font>
      <sz val="7"/>
      <color theme="1"/>
      <name val="Calibri"/>
      <family val="2"/>
      <charset val="162"/>
      <scheme val="minor"/>
    </font>
    <font>
      <sz val="7"/>
      <color rgb="FF222222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0" fontId="12" fillId="0" borderId="0"/>
    <xf numFmtId="0" fontId="1" fillId="0" borderId="0"/>
    <xf numFmtId="0" fontId="12" fillId="0" borderId="0"/>
  </cellStyleXfs>
  <cellXfs count="67">
    <xf numFmtId="0" fontId="0" fillId="0" borderId="0" xfId="0"/>
    <xf numFmtId="1" fontId="3" fillId="0" borderId="0" xfId="0" applyNumberFormat="1" applyFont="1" applyBorder="1" applyAlignment="1"/>
    <xf numFmtId="1" fontId="5" fillId="0" borderId="0" xfId="0" applyNumberFormat="1" applyFont="1" applyBorder="1" applyAlignment="1">
      <alignment horizontal="right"/>
    </xf>
    <xf numFmtId="1" fontId="5" fillId="0" borderId="1" xfId="0" applyNumberFormat="1" applyFont="1" applyBorder="1" applyAlignment="1"/>
    <xf numFmtId="1" fontId="5" fillId="0" borderId="0" xfId="0" applyNumberFormat="1" applyFont="1" applyAlignment="1"/>
    <xf numFmtId="1" fontId="5" fillId="0" borderId="0" xfId="0" applyNumberFormat="1" applyFont="1" applyBorder="1"/>
    <xf numFmtId="1" fontId="3" fillId="0" borderId="0" xfId="0" applyNumberFormat="1" applyFont="1"/>
    <xf numFmtId="1" fontId="3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left" vertical="center"/>
    </xf>
    <xf numFmtId="164" fontId="3" fillId="0" borderId="0" xfId="0" applyNumberFormat="1" applyFont="1"/>
    <xf numFmtId="164" fontId="3" fillId="0" borderId="0" xfId="0" applyNumberFormat="1" applyFont="1" applyAlignment="1"/>
    <xf numFmtId="0" fontId="6" fillId="0" borderId="0" xfId="0" applyFont="1" applyFill="1" applyBorder="1" applyAlignment="1">
      <alignment vertical="center" shrinkToFit="1"/>
    </xf>
    <xf numFmtId="0" fontId="6" fillId="0" borderId="0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 shrinkToFit="1"/>
    </xf>
    <xf numFmtId="0" fontId="6" fillId="0" borderId="0" xfId="2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1" fontId="3" fillId="0" borderId="0" xfId="0" applyNumberFormat="1" applyFont="1" applyAlignment="1">
      <alignment vertical="top"/>
    </xf>
    <xf numFmtId="1" fontId="3" fillId="0" borderId="0" xfId="0" applyNumberFormat="1" applyFont="1" applyBorder="1" applyAlignment="1">
      <alignment vertical="top"/>
    </xf>
    <xf numFmtId="0" fontId="14" fillId="0" borderId="0" xfId="1" applyFont="1" applyFill="1" applyBorder="1" applyAlignment="1">
      <alignment vertical="center"/>
    </xf>
    <xf numFmtId="0" fontId="8" fillId="0" borderId="0" xfId="2" applyFont="1" applyFill="1" applyBorder="1" applyAlignment="1">
      <alignment vertical="center"/>
    </xf>
    <xf numFmtId="164" fontId="13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64" fontId="15" fillId="2" borderId="0" xfId="4" applyNumberFormat="1" applyFont="1" applyFill="1" applyBorder="1"/>
    <xf numFmtId="1" fontId="4" fillId="2" borderId="5" xfId="0" applyNumberFormat="1" applyFont="1" applyFill="1" applyBorder="1" applyAlignment="1">
      <alignment vertical="center"/>
    </xf>
    <xf numFmtId="0" fontId="14" fillId="0" borderId="0" xfId="1" applyFont="1" applyFill="1" applyBorder="1" applyAlignment="1">
      <alignment vertical="top"/>
    </xf>
    <xf numFmtId="0" fontId="8" fillId="0" borderId="0" xfId="2" applyFont="1" applyFill="1" applyBorder="1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 applyBorder="1" applyAlignment="1">
      <alignment vertical="top"/>
    </xf>
    <xf numFmtId="1" fontId="8" fillId="0" borderId="0" xfId="0" applyNumberFormat="1" applyFont="1" applyAlignment="1">
      <alignment vertical="top"/>
    </xf>
    <xf numFmtId="1" fontId="4" fillId="2" borderId="5" xfId="0" applyNumberFormat="1" applyFont="1" applyFill="1" applyBorder="1" applyAlignment="1">
      <alignment horizontal="center" vertical="center"/>
    </xf>
    <xf numFmtId="164" fontId="15" fillId="2" borderId="0" xfId="4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top"/>
    </xf>
    <xf numFmtId="164" fontId="13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64" fontId="16" fillId="2" borderId="0" xfId="4" applyNumberFormat="1" applyFont="1" applyFill="1" applyBorder="1"/>
    <xf numFmtId="164" fontId="17" fillId="2" borderId="0" xfId="4" applyNumberFormat="1" applyFont="1" applyFill="1" applyBorder="1"/>
    <xf numFmtId="164" fontId="5" fillId="2" borderId="5" xfId="4" applyNumberFormat="1" applyFont="1" applyFill="1" applyBorder="1"/>
    <xf numFmtId="164" fontId="5" fillId="0" borderId="0" xfId="0" applyNumberFormat="1" applyFont="1" applyBorder="1"/>
    <xf numFmtId="164" fontId="5" fillId="2" borderId="5" xfId="4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left" vertical="center" wrapText="1"/>
    </xf>
    <xf numFmtId="164" fontId="16" fillId="2" borderId="0" xfId="4" applyNumberFormat="1" applyFont="1" applyFill="1" applyBorder="1" applyAlignment="1">
      <alignment vertical="top"/>
    </xf>
    <xf numFmtId="1" fontId="5" fillId="0" borderId="2" xfId="0" applyNumberFormat="1" applyFont="1" applyFill="1" applyBorder="1" applyAlignment="1">
      <alignment horizontal="center" vertical="center"/>
    </xf>
    <xf numFmtId="164" fontId="6" fillId="2" borderId="0" xfId="4" applyNumberFormat="1" applyFont="1" applyFill="1"/>
    <xf numFmtId="164" fontId="5" fillId="2" borderId="0" xfId="4" applyNumberFormat="1" applyFont="1" applyFill="1" applyAlignment="1">
      <alignment horizontal="center"/>
    </xf>
    <xf numFmtId="165" fontId="6" fillId="2" borderId="0" xfId="4" applyNumberFormat="1" applyFont="1" applyFill="1"/>
    <xf numFmtId="1" fontId="5" fillId="0" borderId="0" xfId="0" applyNumberFormat="1" applyFont="1"/>
    <xf numFmtId="164" fontId="5" fillId="2" borderId="0" xfId="4" applyNumberFormat="1" applyFont="1" applyFill="1"/>
    <xf numFmtId="164" fontId="5" fillId="2" borderId="0" xfId="0" applyNumberFormat="1" applyFont="1" applyFill="1" applyAlignment="1">
      <alignment horizontal="right"/>
    </xf>
    <xf numFmtId="164" fontId="5" fillId="2" borderId="0" xfId="4" applyNumberFormat="1" applyFont="1" applyFill="1" applyAlignment="1">
      <alignment horizontal="right"/>
    </xf>
    <xf numFmtId="164" fontId="5" fillId="0" borderId="0" xfId="0" applyNumberFormat="1" applyFont="1"/>
    <xf numFmtId="164" fontId="5" fillId="2" borderId="5" xfId="0" applyNumberFormat="1" applyFont="1" applyFill="1" applyBorder="1" applyAlignment="1">
      <alignment horizontal="right"/>
    </xf>
    <xf numFmtId="0" fontId="18" fillId="0" borderId="0" xfId="0" applyFont="1" applyAlignment="1">
      <alignment horizontal="left" vertical="top" wrapText="1"/>
    </xf>
    <xf numFmtId="1" fontId="5" fillId="0" borderId="4" xfId="0" applyNumberFormat="1" applyFont="1" applyBorder="1" applyAlignment="1">
      <alignment horizontal="center"/>
    </xf>
    <xf numFmtId="0" fontId="6" fillId="0" borderId="1" xfId="2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/>
    </xf>
    <xf numFmtId="0" fontId="6" fillId="0" borderId="2" xfId="2" applyFont="1" applyBorder="1" applyAlignment="1">
      <alignment horizontal="left" vertical="center" wrapText="1"/>
    </xf>
  </cellXfs>
  <cellStyles count="6">
    <cellStyle name="Normal" xfId="0" builtinId="0"/>
    <cellStyle name="Normal 2" xfId="3" xr:uid="{00000000-0005-0000-0000-000001000000}"/>
    <cellStyle name="Normal 4" xfId="5" xr:uid="{00000000-0005-0000-0000-000002000000}"/>
    <cellStyle name="Normal 5" xfId="4" xr:uid="{00000000-0005-0000-0000-000003000000}"/>
    <cellStyle name="Normal_2004 sonu itibariyle faaliyetler" xfId="2" xr:uid="{00000000-0005-0000-0000-000004000000}"/>
    <cellStyle name="Normal_BEŞ YILLIK KALKINMA PLANI" xfId="1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showGridLines="0" tabSelected="1" workbookViewId="0">
      <selection activeCell="T13" sqref="T13"/>
    </sheetView>
  </sheetViews>
  <sheetFormatPr defaultRowHeight="12.75" x14ac:dyDescent="0.2"/>
  <cols>
    <col min="1" max="1" width="7.140625" style="6" customWidth="1"/>
    <col min="2" max="2" width="13.140625" style="6" customWidth="1"/>
    <col min="3" max="6" width="13.85546875" style="6" customWidth="1"/>
    <col min="7" max="7" width="12.28515625" style="30" customWidth="1"/>
    <col min="8" max="8" width="12.7109375" style="13" customWidth="1"/>
    <col min="9" max="9" width="13.5703125" style="13" customWidth="1"/>
    <col min="10" max="10" width="13" style="14" customWidth="1"/>
    <col min="11" max="11" width="3.42578125" style="14" customWidth="1"/>
    <col min="12" max="12" width="9.5703125" style="6" customWidth="1"/>
    <col min="13" max="13" width="10.28515625" style="6" customWidth="1"/>
    <col min="14" max="14" width="11.7109375" style="6" customWidth="1"/>
    <col min="15" max="16" width="9.140625" style="6"/>
    <col min="17" max="17" width="13" style="6" customWidth="1"/>
    <col min="18" max="168" width="9.140625" style="6"/>
    <col min="169" max="169" width="5.140625" style="6" customWidth="1"/>
    <col min="170" max="170" width="1.85546875" style="6" customWidth="1"/>
    <col min="171" max="182" width="8.28515625" style="6" customWidth="1"/>
    <col min="183" max="183" width="6.28515625" style="6" bestFit="1" customWidth="1"/>
    <col min="184" max="184" width="8" style="6" customWidth="1"/>
    <col min="185" max="185" width="8.28515625" style="6" customWidth="1"/>
    <col min="186" max="424" width="9.140625" style="6"/>
    <col min="425" max="425" width="5.140625" style="6" customWidth="1"/>
    <col min="426" max="426" width="1.85546875" style="6" customWidth="1"/>
    <col min="427" max="438" width="8.28515625" style="6" customWidth="1"/>
    <col min="439" max="439" width="6.28515625" style="6" bestFit="1" customWidth="1"/>
    <col min="440" max="440" width="8" style="6" customWidth="1"/>
    <col min="441" max="441" width="8.28515625" style="6" customWidth="1"/>
    <col min="442" max="680" width="9.140625" style="6"/>
    <col min="681" max="681" width="5.140625" style="6" customWidth="1"/>
    <col min="682" max="682" width="1.85546875" style="6" customWidth="1"/>
    <col min="683" max="694" width="8.28515625" style="6" customWidth="1"/>
    <col min="695" max="695" width="6.28515625" style="6" bestFit="1" customWidth="1"/>
    <col min="696" max="696" width="8" style="6" customWidth="1"/>
    <col min="697" max="697" width="8.28515625" style="6" customWidth="1"/>
    <col min="698" max="936" width="9.140625" style="6"/>
    <col min="937" max="937" width="5.140625" style="6" customWidth="1"/>
    <col min="938" max="938" width="1.85546875" style="6" customWidth="1"/>
    <col min="939" max="950" width="8.28515625" style="6" customWidth="1"/>
    <col min="951" max="951" width="6.28515625" style="6" bestFit="1" customWidth="1"/>
    <col min="952" max="952" width="8" style="6" customWidth="1"/>
    <col min="953" max="953" width="8.28515625" style="6" customWidth="1"/>
    <col min="954" max="1192" width="9.140625" style="6"/>
    <col min="1193" max="1193" width="5.140625" style="6" customWidth="1"/>
    <col min="1194" max="1194" width="1.85546875" style="6" customWidth="1"/>
    <col min="1195" max="1206" width="8.28515625" style="6" customWidth="1"/>
    <col min="1207" max="1207" width="6.28515625" style="6" bestFit="1" customWidth="1"/>
    <col min="1208" max="1208" width="8" style="6" customWidth="1"/>
    <col min="1209" max="1209" width="8.28515625" style="6" customWidth="1"/>
    <col min="1210" max="1448" width="9.140625" style="6"/>
    <col min="1449" max="1449" width="5.140625" style="6" customWidth="1"/>
    <col min="1450" max="1450" width="1.85546875" style="6" customWidth="1"/>
    <col min="1451" max="1462" width="8.28515625" style="6" customWidth="1"/>
    <col min="1463" max="1463" width="6.28515625" style="6" bestFit="1" customWidth="1"/>
    <col min="1464" max="1464" width="8" style="6" customWidth="1"/>
    <col min="1465" max="1465" width="8.28515625" style="6" customWidth="1"/>
    <col min="1466" max="1704" width="9.140625" style="6"/>
    <col min="1705" max="1705" width="5.140625" style="6" customWidth="1"/>
    <col min="1706" max="1706" width="1.85546875" style="6" customWidth="1"/>
    <col min="1707" max="1718" width="8.28515625" style="6" customWidth="1"/>
    <col min="1719" max="1719" width="6.28515625" style="6" bestFit="1" customWidth="1"/>
    <col min="1720" max="1720" width="8" style="6" customWidth="1"/>
    <col min="1721" max="1721" width="8.28515625" style="6" customWidth="1"/>
    <col min="1722" max="1960" width="9.140625" style="6"/>
    <col min="1961" max="1961" width="5.140625" style="6" customWidth="1"/>
    <col min="1962" max="1962" width="1.85546875" style="6" customWidth="1"/>
    <col min="1963" max="1974" width="8.28515625" style="6" customWidth="1"/>
    <col min="1975" max="1975" width="6.28515625" style="6" bestFit="1" customWidth="1"/>
    <col min="1976" max="1976" width="8" style="6" customWidth="1"/>
    <col min="1977" max="1977" width="8.28515625" style="6" customWidth="1"/>
    <col min="1978" max="2216" width="9.140625" style="6"/>
    <col min="2217" max="2217" width="5.140625" style="6" customWidth="1"/>
    <col min="2218" max="2218" width="1.85546875" style="6" customWidth="1"/>
    <col min="2219" max="2230" width="8.28515625" style="6" customWidth="1"/>
    <col min="2231" max="2231" width="6.28515625" style="6" bestFit="1" customWidth="1"/>
    <col min="2232" max="2232" width="8" style="6" customWidth="1"/>
    <col min="2233" max="2233" width="8.28515625" style="6" customWidth="1"/>
    <col min="2234" max="2472" width="9.140625" style="6"/>
    <col min="2473" max="2473" width="5.140625" style="6" customWidth="1"/>
    <col min="2474" max="2474" width="1.85546875" style="6" customWidth="1"/>
    <col min="2475" max="2486" width="8.28515625" style="6" customWidth="1"/>
    <col min="2487" max="2487" width="6.28515625" style="6" bestFit="1" customWidth="1"/>
    <col min="2488" max="2488" width="8" style="6" customWidth="1"/>
    <col min="2489" max="2489" width="8.28515625" style="6" customWidth="1"/>
    <col min="2490" max="2728" width="9.140625" style="6"/>
    <col min="2729" max="2729" width="5.140625" style="6" customWidth="1"/>
    <col min="2730" max="2730" width="1.85546875" style="6" customWidth="1"/>
    <col min="2731" max="2742" width="8.28515625" style="6" customWidth="1"/>
    <col min="2743" max="2743" width="6.28515625" style="6" bestFit="1" customWidth="1"/>
    <col min="2744" max="2744" width="8" style="6" customWidth="1"/>
    <col min="2745" max="2745" width="8.28515625" style="6" customWidth="1"/>
    <col min="2746" max="2984" width="9.140625" style="6"/>
    <col min="2985" max="2985" width="5.140625" style="6" customWidth="1"/>
    <col min="2986" max="2986" width="1.85546875" style="6" customWidth="1"/>
    <col min="2987" max="2998" width="8.28515625" style="6" customWidth="1"/>
    <col min="2999" max="2999" width="6.28515625" style="6" bestFit="1" customWidth="1"/>
    <col min="3000" max="3000" width="8" style="6" customWidth="1"/>
    <col min="3001" max="3001" width="8.28515625" style="6" customWidth="1"/>
    <col min="3002" max="3240" width="9.140625" style="6"/>
    <col min="3241" max="3241" width="5.140625" style="6" customWidth="1"/>
    <col min="3242" max="3242" width="1.85546875" style="6" customWidth="1"/>
    <col min="3243" max="3254" width="8.28515625" style="6" customWidth="1"/>
    <col min="3255" max="3255" width="6.28515625" style="6" bestFit="1" customWidth="1"/>
    <col min="3256" max="3256" width="8" style="6" customWidth="1"/>
    <col min="3257" max="3257" width="8.28515625" style="6" customWidth="1"/>
    <col min="3258" max="3496" width="9.140625" style="6"/>
    <col min="3497" max="3497" width="5.140625" style="6" customWidth="1"/>
    <col min="3498" max="3498" width="1.85546875" style="6" customWidth="1"/>
    <col min="3499" max="3510" width="8.28515625" style="6" customWidth="1"/>
    <col min="3511" max="3511" width="6.28515625" style="6" bestFit="1" customWidth="1"/>
    <col min="3512" max="3512" width="8" style="6" customWidth="1"/>
    <col min="3513" max="3513" width="8.28515625" style="6" customWidth="1"/>
    <col min="3514" max="3752" width="9.140625" style="6"/>
    <col min="3753" max="3753" width="5.140625" style="6" customWidth="1"/>
    <col min="3754" max="3754" width="1.85546875" style="6" customWidth="1"/>
    <col min="3755" max="3766" width="8.28515625" style="6" customWidth="1"/>
    <col min="3767" max="3767" width="6.28515625" style="6" bestFit="1" customWidth="1"/>
    <col min="3768" max="3768" width="8" style="6" customWidth="1"/>
    <col min="3769" max="3769" width="8.28515625" style="6" customWidth="1"/>
    <col min="3770" max="4008" width="9.140625" style="6"/>
    <col min="4009" max="4009" width="5.140625" style="6" customWidth="1"/>
    <col min="4010" max="4010" width="1.85546875" style="6" customWidth="1"/>
    <col min="4011" max="4022" width="8.28515625" style="6" customWidth="1"/>
    <col min="4023" max="4023" width="6.28515625" style="6" bestFit="1" customWidth="1"/>
    <col min="4024" max="4024" width="8" style="6" customWidth="1"/>
    <col min="4025" max="4025" width="8.28515625" style="6" customWidth="1"/>
    <col min="4026" max="4264" width="9.140625" style="6"/>
    <col min="4265" max="4265" width="5.140625" style="6" customWidth="1"/>
    <col min="4266" max="4266" width="1.85546875" style="6" customWidth="1"/>
    <col min="4267" max="4278" width="8.28515625" style="6" customWidth="1"/>
    <col min="4279" max="4279" width="6.28515625" style="6" bestFit="1" customWidth="1"/>
    <col min="4280" max="4280" width="8" style="6" customWidth="1"/>
    <col min="4281" max="4281" width="8.28515625" style="6" customWidth="1"/>
    <col min="4282" max="4520" width="9.140625" style="6"/>
    <col min="4521" max="4521" width="5.140625" style="6" customWidth="1"/>
    <col min="4522" max="4522" width="1.85546875" style="6" customWidth="1"/>
    <col min="4523" max="4534" width="8.28515625" style="6" customWidth="1"/>
    <col min="4535" max="4535" width="6.28515625" style="6" bestFit="1" customWidth="1"/>
    <col min="4536" max="4536" width="8" style="6" customWidth="1"/>
    <col min="4537" max="4537" width="8.28515625" style="6" customWidth="1"/>
    <col min="4538" max="4776" width="9.140625" style="6"/>
    <col min="4777" max="4777" width="5.140625" style="6" customWidth="1"/>
    <col min="4778" max="4778" width="1.85546875" style="6" customWidth="1"/>
    <col min="4779" max="4790" width="8.28515625" style="6" customWidth="1"/>
    <col min="4791" max="4791" width="6.28515625" style="6" bestFit="1" customWidth="1"/>
    <col min="4792" max="4792" width="8" style="6" customWidth="1"/>
    <col min="4793" max="4793" width="8.28515625" style="6" customWidth="1"/>
    <col min="4794" max="5032" width="9.140625" style="6"/>
    <col min="5033" max="5033" width="5.140625" style="6" customWidth="1"/>
    <col min="5034" max="5034" width="1.85546875" style="6" customWidth="1"/>
    <col min="5035" max="5046" width="8.28515625" style="6" customWidth="1"/>
    <col min="5047" max="5047" width="6.28515625" style="6" bestFit="1" customWidth="1"/>
    <col min="5048" max="5048" width="8" style="6" customWidth="1"/>
    <col min="5049" max="5049" width="8.28515625" style="6" customWidth="1"/>
    <col min="5050" max="5288" width="9.140625" style="6"/>
    <col min="5289" max="5289" width="5.140625" style="6" customWidth="1"/>
    <col min="5290" max="5290" width="1.85546875" style="6" customWidth="1"/>
    <col min="5291" max="5302" width="8.28515625" style="6" customWidth="1"/>
    <col min="5303" max="5303" width="6.28515625" style="6" bestFit="1" customWidth="1"/>
    <col min="5304" max="5304" width="8" style="6" customWidth="1"/>
    <col min="5305" max="5305" width="8.28515625" style="6" customWidth="1"/>
    <col min="5306" max="5544" width="9.140625" style="6"/>
    <col min="5545" max="5545" width="5.140625" style="6" customWidth="1"/>
    <col min="5546" max="5546" width="1.85546875" style="6" customWidth="1"/>
    <col min="5547" max="5558" width="8.28515625" style="6" customWidth="1"/>
    <col min="5559" max="5559" width="6.28515625" style="6" bestFit="1" customWidth="1"/>
    <col min="5560" max="5560" width="8" style="6" customWidth="1"/>
    <col min="5561" max="5561" width="8.28515625" style="6" customWidth="1"/>
    <col min="5562" max="5800" width="9.140625" style="6"/>
    <col min="5801" max="5801" width="5.140625" style="6" customWidth="1"/>
    <col min="5802" max="5802" width="1.85546875" style="6" customWidth="1"/>
    <col min="5803" max="5814" width="8.28515625" style="6" customWidth="1"/>
    <col min="5815" max="5815" width="6.28515625" style="6" bestFit="1" customWidth="1"/>
    <col min="5816" max="5816" width="8" style="6" customWidth="1"/>
    <col min="5817" max="5817" width="8.28515625" style="6" customWidth="1"/>
    <col min="5818" max="6056" width="9.140625" style="6"/>
    <col min="6057" max="6057" width="5.140625" style="6" customWidth="1"/>
    <col min="6058" max="6058" width="1.85546875" style="6" customWidth="1"/>
    <col min="6059" max="6070" width="8.28515625" style="6" customWidth="1"/>
    <col min="6071" max="6071" width="6.28515625" style="6" bestFit="1" customWidth="1"/>
    <col min="6072" max="6072" width="8" style="6" customWidth="1"/>
    <col min="6073" max="6073" width="8.28515625" style="6" customWidth="1"/>
    <col min="6074" max="6312" width="9.140625" style="6"/>
    <col min="6313" max="6313" width="5.140625" style="6" customWidth="1"/>
    <col min="6314" max="6314" width="1.85546875" style="6" customWidth="1"/>
    <col min="6315" max="6326" width="8.28515625" style="6" customWidth="1"/>
    <col min="6327" max="6327" width="6.28515625" style="6" bestFit="1" customWidth="1"/>
    <col min="6328" max="6328" width="8" style="6" customWidth="1"/>
    <col min="6329" max="6329" width="8.28515625" style="6" customWidth="1"/>
    <col min="6330" max="6568" width="9.140625" style="6"/>
    <col min="6569" max="6569" width="5.140625" style="6" customWidth="1"/>
    <col min="6570" max="6570" width="1.85546875" style="6" customWidth="1"/>
    <col min="6571" max="6582" width="8.28515625" style="6" customWidth="1"/>
    <col min="6583" max="6583" width="6.28515625" style="6" bestFit="1" customWidth="1"/>
    <col min="6584" max="6584" width="8" style="6" customWidth="1"/>
    <col min="6585" max="6585" width="8.28515625" style="6" customWidth="1"/>
    <col min="6586" max="6824" width="9.140625" style="6"/>
    <col min="6825" max="6825" width="5.140625" style="6" customWidth="1"/>
    <col min="6826" max="6826" width="1.85546875" style="6" customWidth="1"/>
    <col min="6827" max="6838" width="8.28515625" style="6" customWidth="1"/>
    <col min="6839" max="6839" width="6.28515625" style="6" bestFit="1" customWidth="1"/>
    <col min="6840" max="6840" width="8" style="6" customWidth="1"/>
    <col min="6841" max="6841" width="8.28515625" style="6" customWidth="1"/>
    <col min="6842" max="7080" width="9.140625" style="6"/>
    <col min="7081" max="7081" width="5.140625" style="6" customWidth="1"/>
    <col min="7082" max="7082" width="1.85546875" style="6" customWidth="1"/>
    <col min="7083" max="7094" width="8.28515625" style="6" customWidth="1"/>
    <col min="7095" max="7095" width="6.28515625" style="6" bestFit="1" customWidth="1"/>
    <col min="7096" max="7096" width="8" style="6" customWidth="1"/>
    <col min="7097" max="7097" width="8.28515625" style="6" customWidth="1"/>
    <col min="7098" max="7336" width="9.140625" style="6"/>
    <col min="7337" max="7337" width="5.140625" style="6" customWidth="1"/>
    <col min="7338" max="7338" width="1.85546875" style="6" customWidth="1"/>
    <col min="7339" max="7350" width="8.28515625" style="6" customWidth="1"/>
    <col min="7351" max="7351" width="6.28515625" style="6" bestFit="1" customWidth="1"/>
    <col min="7352" max="7352" width="8" style="6" customWidth="1"/>
    <col min="7353" max="7353" width="8.28515625" style="6" customWidth="1"/>
    <col min="7354" max="7592" width="9.140625" style="6"/>
    <col min="7593" max="7593" width="5.140625" style="6" customWidth="1"/>
    <col min="7594" max="7594" width="1.85546875" style="6" customWidth="1"/>
    <col min="7595" max="7606" width="8.28515625" style="6" customWidth="1"/>
    <col min="7607" max="7607" width="6.28515625" style="6" bestFit="1" customWidth="1"/>
    <col min="7608" max="7608" width="8" style="6" customWidth="1"/>
    <col min="7609" max="7609" width="8.28515625" style="6" customWidth="1"/>
    <col min="7610" max="7848" width="9.140625" style="6"/>
    <col min="7849" max="7849" width="5.140625" style="6" customWidth="1"/>
    <col min="7850" max="7850" width="1.85546875" style="6" customWidth="1"/>
    <col min="7851" max="7862" width="8.28515625" style="6" customWidth="1"/>
    <col min="7863" max="7863" width="6.28515625" style="6" bestFit="1" customWidth="1"/>
    <col min="7864" max="7864" width="8" style="6" customWidth="1"/>
    <col min="7865" max="7865" width="8.28515625" style="6" customWidth="1"/>
    <col min="7866" max="8104" width="9.140625" style="6"/>
    <col min="8105" max="8105" width="5.140625" style="6" customWidth="1"/>
    <col min="8106" max="8106" width="1.85546875" style="6" customWidth="1"/>
    <col min="8107" max="8118" width="8.28515625" style="6" customWidth="1"/>
    <col min="8119" max="8119" width="6.28515625" style="6" bestFit="1" customWidth="1"/>
    <col min="8120" max="8120" width="8" style="6" customWidth="1"/>
    <col min="8121" max="8121" width="8.28515625" style="6" customWidth="1"/>
    <col min="8122" max="8360" width="9.140625" style="6"/>
    <col min="8361" max="8361" width="5.140625" style="6" customWidth="1"/>
    <col min="8362" max="8362" width="1.85546875" style="6" customWidth="1"/>
    <col min="8363" max="8374" width="8.28515625" style="6" customWidth="1"/>
    <col min="8375" max="8375" width="6.28515625" style="6" bestFit="1" customWidth="1"/>
    <col min="8376" max="8376" width="8" style="6" customWidth="1"/>
    <col min="8377" max="8377" width="8.28515625" style="6" customWidth="1"/>
    <col min="8378" max="8616" width="9.140625" style="6"/>
    <col min="8617" max="8617" width="5.140625" style="6" customWidth="1"/>
    <col min="8618" max="8618" width="1.85546875" style="6" customWidth="1"/>
    <col min="8619" max="8630" width="8.28515625" style="6" customWidth="1"/>
    <col min="8631" max="8631" width="6.28515625" style="6" bestFit="1" customWidth="1"/>
    <col min="8632" max="8632" width="8" style="6" customWidth="1"/>
    <col min="8633" max="8633" width="8.28515625" style="6" customWidth="1"/>
    <col min="8634" max="8872" width="9.140625" style="6"/>
    <col min="8873" max="8873" width="5.140625" style="6" customWidth="1"/>
    <col min="8874" max="8874" width="1.85546875" style="6" customWidth="1"/>
    <col min="8875" max="8886" width="8.28515625" style="6" customWidth="1"/>
    <col min="8887" max="8887" width="6.28515625" style="6" bestFit="1" customWidth="1"/>
    <col min="8888" max="8888" width="8" style="6" customWidth="1"/>
    <col min="8889" max="8889" width="8.28515625" style="6" customWidth="1"/>
    <col min="8890" max="9128" width="9.140625" style="6"/>
    <col min="9129" max="9129" width="5.140625" style="6" customWidth="1"/>
    <col min="9130" max="9130" width="1.85546875" style="6" customWidth="1"/>
    <col min="9131" max="9142" width="8.28515625" style="6" customWidth="1"/>
    <col min="9143" max="9143" width="6.28515625" style="6" bestFit="1" customWidth="1"/>
    <col min="9144" max="9144" width="8" style="6" customWidth="1"/>
    <col min="9145" max="9145" width="8.28515625" style="6" customWidth="1"/>
    <col min="9146" max="9384" width="9.140625" style="6"/>
    <col min="9385" max="9385" width="5.140625" style="6" customWidth="1"/>
    <col min="9386" max="9386" width="1.85546875" style="6" customWidth="1"/>
    <col min="9387" max="9398" width="8.28515625" style="6" customWidth="1"/>
    <col min="9399" max="9399" width="6.28515625" style="6" bestFit="1" customWidth="1"/>
    <col min="9400" max="9400" width="8" style="6" customWidth="1"/>
    <col min="9401" max="9401" width="8.28515625" style="6" customWidth="1"/>
    <col min="9402" max="9640" width="9.140625" style="6"/>
    <col min="9641" max="9641" width="5.140625" style="6" customWidth="1"/>
    <col min="9642" max="9642" width="1.85546875" style="6" customWidth="1"/>
    <col min="9643" max="9654" width="8.28515625" style="6" customWidth="1"/>
    <col min="9655" max="9655" width="6.28515625" style="6" bestFit="1" customWidth="1"/>
    <col min="9656" max="9656" width="8" style="6" customWidth="1"/>
    <col min="9657" max="9657" width="8.28515625" style="6" customWidth="1"/>
    <col min="9658" max="9896" width="9.140625" style="6"/>
    <col min="9897" max="9897" width="5.140625" style="6" customWidth="1"/>
    <col min="9898" max="9898" width="1.85546875" style="6" customWidth="1"/>
    <col min="9899" max="9910" width="8.28515625" style="6" customWidth="1"/>
    <col min="9911" max="9911" width="6.28515625" style="6" bestFit="1" customWidth="1"/>
    <col min="9912" max="9912" width="8" style="6" customWidth="1"/>
    <col min="9913" max="9913" width="8.28515625" style="6" customWidth="1"/>
    <col min="9914" max="10152" width="9.140625" style="6"/>
    <col min="10153" max="10153" width="5.140625" style="6" customWidth="1"/>
    <col min="10154" max="10154" width="1.85546875" style="6" customWidth="1"/>
    <col min="10155" max="10166" width="8.28515625" style="6" customWidth="1"/>
    <col min="10167" max="10167" width="6.28515625" style="6" bestFit="1" customWidth="1"/>
    <col min="10168" max="10168" width="8" style="6" customWidth="1"/>
    <col min="10169" max="10169" width="8.28515625" style="6" customWidth="1"/>
    <col min="10170" max="10408" width="9.140625" style="6"/>
    <col min="10409" max="10409" width="5.140625" style="6" customWidth="1"/>
    <col min="10410" max="10410" width="1.85546875" style="6" customWidth="1"/>
    <col min="10411" max="10422" width="8.28515625" style="6" customWidth="1"/>
    <col min="10423" max="10423" width="6.28515625" style="6" bestFit="1" customWidth="1"/>
    <col min="10424" max="10424" width="8" style="6" customWidth="1"/>
    <col min="10425" max="10425" width="8.28515625" style="6" customWidth="1"/>
    <col min="10426" max="10664" width="9.140625" style="6"/>
    <col min="10665" max="10665" width="5.140625" style="6" customWidth="1"/>
    <col min="10666" max="10666" width="1.85546875" style="6" customWidth="1"/>
    <col min="10667" max="10678" width="8.28515625" style="6" customWidth="1"/>
    <col min="10679" max="10679" width="6.28515625" style="6" bestFit="1" customWidth="1"/>
    <col min="10680" max="10680" width="8" style="6" customWidth="1"/>
    <col min="10681" max="10681" width="8.28515625" style="6" customWidth="1"/>
    <col min="10682" max="10920" width="9.140625" style="6"/>
    <col min="10921" max="10921" width="5.140625" style="6" customWidth="1"/>
    <col min="10922" max="10922" width="1.85546875" style="6" customWidth="1"/>
    <col min="10923" max="10934" width="8.28515625" style="6" customWidth="1"/>
    <col min="10935" max="10935" width="6.28515625" style="6" bestFit="1" customWidth="1"/>
    <col min="10936" max="10936" width="8" style="6" customWidth="1"/>
    <col min="10937" max="10937" width="8.28515625" style="6" customWidth="1"/>
    <col min="10938" max="11176" width="9.140625" style="6"/>
    <col min="11177" max="11177" width="5.140625" style="6" customWidth="1"/>
    <col min="11178" max="11178" width="1.85546875" style="6" customWidth="1"/>
    <col min="11179" max="11190" width="8.28515625" style="6" customWidth="1"/>
    <col min="11191" max="11191" width="6.28515625" style="6" bestFit="1" customWidth="1"/>
    <col min="11192" max="11192" width="8" style="6" customWidth="1"/>
    <col min="11193" max="11193" width="8.28515625" style="6" customWidth="1"/>
    <col min="11194" max="11432" width="9.140625" style="6"/>
    <col min="11433" max="11433" width="5.140625" style="6" customWidth="1"/>
    <col min="11434" max="11434" width="1.85546875" style="6" customWidth="1"/>
    <col min="11435" max="11446" width="8.28515625" style="6" customWidth="1"/>
    <col min="11447" max="11447" width="6.28515625" style="6" bestFit="1" customWidth="1"/>
    <col min="11448" max="11448" width="8" style="6" customWidth="1"/>
    <col min="11449" max="11449" width="8.28515625" style="6" customWidth="1"/>
    <col min="11450" max="11688" width="9.140625" style="6"/>
    <col min="11689" max="11689" width="5.140625" style="6" customWidth="1"/>
    <col min="11690" max="11690" width="1.85546875" style="6" customWidth="1"/>
    <col min="11691" max="11702" width="8.28515625" style="6" customWidth="1"/>
    <col min="11703" max="11703" width="6.28515625" style="6" bestFit="1" customWidth="1"/>
    <col min="11704" max="11704" width="8" style="6" customWidth="1"/>
    <col min="11705" max="11705" width="8.28515625" style="6" customWidth="1"/>
    <col min="11706" max="11944" width="9.140625" style="6"/>
    <col min="11945" max="11945" width="5.140625" style="6" customWidth="1"/>
    <col min="11946" max="11946" width="1.85546875" style="6" customWidth="1"/>
    <col min="11947" max="11958" width="8.28515625" style="6" customWidth="1"/>
    <col min="11959" max="11959" width="6.28515625" style="6" bestFit="1" customWidth="1"/>
    <col min="11960" max="11960" width="8" style="6" customWidth="1"/>
    <col min="11961" max="11961" width="8.28515625" style="6" customWidth="1"/>
    <col min="11962" max="12200" width="9.140625" style="6"/>
    <col min="12201" max="12201" width="5.140625" style="6" customWidth="1"/>
    <col min="12202" max="12202" width="1.85546875" style="6" customWidth="1"/>
    <col min="12203" max="12214" width="8.28515625" style="6" customWidth="1"/>
    <col min="12215" max="12215" width="6.28515625" style="6" bestFit="1" customWidth="1"/>
    <col min="12216" max="12216" width="8" style="6" customWidth="1"/>
    <col min="12217" max="12217" width="8.28515625" style="6" customWidth="1"/>
    <col min="12218" max="12456" width="9.140625" style="6"/>
    <col min="12457" max="12457" width="5.140625" style="6" customWidth="1"/>
    <col min="12458" max="12458" width="1.85546875" style="6" customWidth="1"/>
    <col min="12459" max="12470" width="8.28515625" style="6" customWidth="1"/>
    <col min="12471" max="12471" width="6.28515625" style="6" bestFit="1" customWidth="1"/>
    <col min="12472" max="12472" width="8" style="6" customWidth="1"/>
    <col min="12473" max="12473" width="8.28515625" style="6" customWidth="1"/>
    <col min="12474" max="12712" width="9.140625" style="6"/>
    <col min="12713" max="12713" width="5.140625" style="6" customWidth="1"/>
    <col min="12714" max="12714" width="1.85546875" style="6" customWidth="1"/>
    <col min="12715" max="12726" width="8.28515625" style="6" customWidth="1"/>
    <col min="12727" max="12727" width="6.28515625" style="6" bestFit="1" customWidth="1"/>
    <col min="12728" max="12728" width="8" style="6" customWidth="1"/>
    <col min="12729" max="12729" width="8.28515625" style="6" customWidth="1"/>
    <col min="12730" max="12968" width="9.140625" style="6"/>
    <col min="12969" max="12969" width="5.140625" style="6" customWidth="1"/>
    <col min="12970" max="12970" width="1.85546875" style="6" customWidth="1"/>
    <col min="12971" max="12982" width="8.28515625" style="6" customWidth="1"/>
    <col min="12983" max="12983" width="6.28515625" style="6" bestFit="1" customWidth="1"/>
    <col min="12984" max="12984" width="8" style="6" customWidth="1"/>
    <col min="12985" max="12985" width="8.28515625" style="6" customWidth="1"/>
    <col min="12986" max="13224" width="9.140625" style="6"/>
    <col min="13225" max="13225" width="5.140625" style="6" customWidth="1"/>
    <col min="13226" max="13226" width="1.85546875" style="6" customWidth="1"/>
    <col min="13227" max="13238" width="8.28515625" style="6" customWidth="1"/>
    <col min="13239" max="13239" width="6.28515625" style="6" bestFit="1" customWidth="1"/>
    <col min="13240" max="13240" width="8" style="6" customWidth="1"/>
    <col min="13241" max="13241" width="8.28515625" style="6" customWidth="1"/>
    <col min="13242" max="13480" width="9.140625" style="6"/>
    <col min="13481" max="13481" width="5.140625" style="6" customWidth="1"/>
    <col min="13482" max="13482" width="1.85546875" style="6" customWidth="1"/>
    <col min="13483" max="13494" width="8.28515625" style="6" customWidth="1"/>
    <col min="13495" max="13495" width="6.28515625" style="6" bestFit="1" customWidth="1"/>
    <col min="13496" max="13496" width="8" style="6" customWidth="1"/>
    <col min="13497" max="13497" width="8.28515625" style="6" customWidth="1"/>
    <col min="13498" max="13736" width="9.140625" style="6"/>
    <col min="13737" max="13737" width="5.140625" style="6" customWidth="1"/>
    <col min="13738" max="13738" width="1.85546875" style="6" customWidth="1"/>
    <col min="13739" max="13750" width="8.28515625" style="6" customWidth="1"/>
    <col min="13751" max="13751" width="6.28515625" style="6" bestFit="1" customWidth="1"/>
    <col min="13752" max="13752" width="8" style="6" customWidth="1"/>
    <col min="13753" max="13753" width="8.28515625" style="6" customWidth="1"/>
    <col min="13754" max="13992" width="9.140625" style="6"/>
    <col min="13993" max="13993" width="5.140625" style="6" customWidth="1"/>
    <col min="13994" max="13994" width="1.85546875" style="6" customWidth="1"/>
    <col min="13995" max="14006" width="8.28515625" style="6" customWidth="1"/>
    <col min="14007" max="14007" width="6.28515625" style="6" bestFit="1" customWidth="1"/>
    <col min="14008" max="14008" width="8" style="6" customWidth="1"/>
    <col min="14009" max="14009" width="8.28515625" style="6" customWidth="1"/>
    <col min="14010" max="14248" width="9.140625" style="6"/>
    <col min="14249" max="14249" width="5.140625" style="6" customWidth="1"/>
    <col min="14250" max="14250" width="1.85546875" style="6" customWidth="1"/>
    <col min="14251" max="14262" width="8.28515625" style="6" customWidth="1"/>
    <col min="14263" max="14263" width="6.28515625" style="6" bestFit="1" customWidth="1"/>
    <col min="14264" max="14264" width="8" style="6" customWidth="1"/>
    <col min="14265" max="14265" width="8.28515625" style="6" customWidth="1"/>
    <col min="14266" max="14504" width="9.140625" style="6"/>
    <col min="14505" max="14505" width="5.140625" style="6" customWidth="1"/>
    <col min="14506" max="14506" width="1.85546875" style="6" customWidth="1"/>
    <col min="14507" max="14518" width="8.28515625" style="6" customWidth="1"/>
    <col min="14519" max="14519" width="6.28515625" style="6" bestFit="1" customWidth="1"/>
    <col min="14520" max="14520" width="8" style="6" customWidth="1"/>
    <col min="14521" max="14521" width="8.28515625" style="6" customWidth="1"/>
    <col min="14522" max="14760" width="9.140625" style="6"/>
    <col min="14761" max="14761" width="5.140625" style="6" customWidth="1"/>
    <col min="14762" max="14762" width="1.85546875" style="6" customWidth="1"/>
    <col min="14763" max="14774" width="8.28515625" style="6" customWidth="1"/>
    <col min="14775" max="14775" width="6.28515625" style="6" bestFit="1" customWidth="1"/>
    <col min="14776" max="14776" width="8" style="6" customWidth="1"/>
    <col min="14777" max="14777" width="8.28515625" style="6" customWidth="1"/>
    <col min="14778" max="15016" width="9.140625" style="6"/>
    <col min="15017" max="15017" width="5.140625" style="6" customWidth="1"/>
    <col min="15018" max="15018" width="1.85546875" style="6" customWidth="1"/>
    <col min="15019" max="15030" width="8.28515625" style="6" customWidth="1"/>
    <col min="15031" max="15031" width="6.28515625" style="6" bestFit="1" customWidth="1"/>
    <col min="15032" max="15032" width="8" style="6" customWidth="1"/>
    <col min="15033" max="15033" width="8.28515625" style="6" customWidth="1"/>
    <col min="15034" max="15272" width="9.140625" style="6"/>
    <col min="15273" max="15273" width="5.140625" style="6" customWidth="1"/>
    <col min="15274" max="15274" width="1.85546875" style="6" customWidth="1"/>
    <col min="15275" max="15286" width="8.28515625" style="6" customWidth="1"/>
    <col min="15287" max="15287" width="6.28515625" style="6" bestFit="1" customWidth="1"/>
    <col min="15288" max="15288" width="8" style="6" customWidth="1"/>
    <col min="15289" max="15289" width="8.28515625" style="6" customWidth="1"/>
    <col min="15290" max="15528" width="9.140625" style="6"/>
    <col min="15529" max="15529" width="5.140625" style="6" customWidth="1"/>
    <col min="15530" max="15530" width="1.85546875" style="6" customWidth="1"/>
    <col min="15531" max="15542" width="8.28515625" style="6" customWidth="1"/>
    <col min="15543" max="15543" width="6.28515625" style="6" bestFit="1" customWidth="1"/>
    <col min="15544" max="15544" width="8" style="6" customWidth="1"/>
    <col min="15545" max="15545" width="8.28515625" style="6" customWidth="1"/>
    <col min="15546" max="15784" width="9.140625" style="6"/>
    <col min="15785" max="15785" width="5.140625" style="6" customWidth="1"/>
    <col min="15786" max="15786" width="1.85546875" style="6" customWidth="1"/>
    <col min="15787" max="15798" width="8.28515625" style="6" customWidth="1"/>
    <col min="15799" max="15799" width="6.28515625" style="6" bestFit="1" customWidth="1"/>
    <col min="15800" max="15800" width="8" style="6" customWidth="1"/>
    <col min="15801" max="15801" width="8.28515625" style="6" customWidth="1"/>
    <col min="15802" max="16040" width="9.140625" style="6"/>
    <col min="16041" max="16041" width="5.140625" style="6" customWidth="1"/>
    <col min="16042" max="16042" width="1.85546875" style="6" customWidth="1"/>
    <col min="16043" max="16054" width="8.28515625" style="6" customWidth="1"/>
    <col min="16055" max="16055" width="6.28515625" style="6" bestFit="1" customWidth="1"/>
    <col min="16056" max="16056" width="8" style="6" customWidth="1"/>
    <col min="16057" max="16057" width="8.28515625" style="6" customWidth="1"/>
    <col min="16058" max="16384" width="9.140625" style="6"/>
  </cols>
  <sheetData>
    <row r="1" spans="1:17" s="1" customFormat="1" ht="15" x14ac:dyDescent="0.25">
      <c r="A1" s="8" t="s">
        <v>180</v>
      </c>
      <c r="B1" s="8"/>
      <c r="C1" s="8"/>
      <c r="D1" s="8"/>
      <c r="E1" s="8"/>
      <c r="F1" s="8"/>
      <c r="G1" s="29"/>
      <c r="H1" s="11"/>
      <c r="I1" s="11"/>
      <c r="J1" s="11"/>
      <c r="K1" s="11"/>
      <c r="L1"/>
    </row>
    <row r="2" spans="1:17" s="1" customFormat="1" ht="15.75" customHeight="1" thickBot="1" x14ac:dyDescent="0.25">
      <c r="A2" s="32" t="s">
        <v>181</v>
      </c>
      <c r="B2" s="32"/>
      <c r="C2" s="32"/>
      <c r="D2" s="32"/>
      <c r="E2" s="32"/>
      <c r="F2" s="32"/>
      <c r="G2" s="38"/>
      <c r="H2" s="32"/>
      <c r="I2" s="12"/>
      <c r="N2" s="2"/>
    </row>
    <row r="3" spans="1:17" s="4" customFormat="1" ht="15.95" customHeight="1" x14ac:dyDescent="0.15">
      <c r="A3" s="3"/>
      <c r="B3" s="9"/>
      <c r="C3" s="62" t="s">
        <v>164</v>
      </c>
      <c r="D3" s="64" t="s">
        <v>174</v>
      </c>
      <c r="E3" s="64"/>
      <c r="F3" s="64"/>
      <c r="G3" s="62" t="s">
        <v>170</v>
      </c>
      <c r="H3" s="65" t="s">
        <v>173</v>
      </c>
      <c r="I3" s="65"/>
      <c r="J3" s="65"/>
      <c r="K3" s="42"/>
      <c r="L3" s="61" t="s">
        <v>172</v>
      </c>
      <c r="M3" s="61"/>
      <c r="N3" s="61"/>
    </row>
    <row r="4" spans="1:17" s="4" customFormat="1" ht="34.5" customHeight="1" x14ac:dyDescent="0.15">
      <c r="A4" s="18"/>
      <c r="B4" s="19"/>
      <c r="C4" s="63"/>
      <c r="D4" s="27" t="s">
        <v>168</v>
      </c>
      <c r="E4" s="25" t="s">
        <v>169</v>
      </c>
      <c r="F4" s="24" t="s">
        <v>166</v>
      </c>
      <c r="G4" s="63"/>
      <c r="H4" s="27" t="s">
        <v>168</v>
      </c>
      <c r="I4" s="25" t="s">
        <v>169</v>
      </c>
      <c r="J4" s="24" t="s">
        <v>166</v>
      </c>
      <c r="K4" s="41"/>
      <c r="L4" s="27" t="s">
        <v>168</v>
      </c>
      <c r="M4" s="25" t="s">
        <v>169</v>
      </c>
      <c r="N4" s="24" t="s">
        <v>166</v>
      </c>
    </row>
    <row r="5" spans="1:17" s="4" customFormat="1" ht="24" customHeight="1" x14ac:dyDescent="0.15">
      <c r="A5" s="66" t="s">
        <v>183</v>
      </c>
      <c r="B5" s="66"/>
      <c r="C5" s="48" t="s">
        <v>165</v>
      </c>
      <c r="D5" s="50" t="s">
        <v>175</v>
      </c>
      <c r="E5" s="50" t="s">
        <v>175</v>
      </c>
      <c r="F5" s="50" t="s">
        <v>175</v>
      </c>
      <c r="G5" s="28" t="s">
        <v>171</v>
      </c>
      <c r="H5" s="26" t="s">
        <v>167</v>
      </c>
      <c r="I5" s="26" t="s">
        <v>167</v>
      </c>
      <c r="J5" s="26" t="s">
        <v>167</v>
      </c>
      <c r="K5" s="26"/>
      <c r="L5" s="26" t="s">
        <v>167</v>
      </c>
      <c r="M5" s="26" t="s">
        <v>167</v>
      </c>
      <c r="N5" s="26" t="s">
        <v>167</v>
      </c>
    </row>
    <row r="6" spans="1:17" s="4" customFormat="1" ht="15" customHeight="1" x14ac:dyDescent="0.15">
      <c r="A6" s="10" t="s">
        <v>0</v>
      </c>
      <c r="B6" s="10" t="s">
        <v>1</v>
      </c>
      <c r="C6" s="51">
        <v>78004644</v>
      </c>
      <c r="D6" s="51">
        <v>13813598</v>
      </c>
      <c r="E6" s="51">
        <v>9549486</v>
      </c>
      <c r="F6" s="51">
        <v>23363084</v>
      </c>
      <c r="G6" s="52">
        <v>29.950888565044924</v>
      </c>
      <c r="H6" s="53">
        <v>1735086166.75</v>
      </c>
      <c r="I6" s="51">
        <v>62975602.000000015</v>
      </c>
      <c r="J6" s="53">
        <v>1798061768.75</v>
      </c>
      <c r="K6" s="54"/>
      <c r="L6" s="51">
        <v>49004362.5</v>
      </c>
      <c r="M6" s="51">
        <v>1951137.5</v>
      </c>
      <c r="N6" s="51">
        <v>50955500</v>
      </c>
    </row>
    <row r="7" spans="1:17" s="4" customFormat="1" ht="15" customHeight="1" x14ac:dyDescent="0.15">
      <c r="A7" s="15" t="s">
        <v>2</v>
      </c>
      <c r="B7" s="15" t="s">
        <v>3</v>
      </c>
      <c r="C7" s="55">
        <v>541609</v>
      </c>
      <c r="D7" s="55">
        <v>225413</v>
      </c>
      <c r="E7" s="55">
        <v>15275</v>
      </c>
      <c r="F7" s="55">
        <v>240688</v>
      </c>
      <c r="G7" s="52">
        <v>44.439438783328931</v>
      </c>
      <c r="H7" s="55">
        <v>16997534</v>
      </c>
      <c r="I7" s="55">
        <v>187461</v>
      </c>
      <c r="J7" s="55">
        <v>17184995</v>
      </c>
      <c r="K7" s="55"/>
      <c r="L7" s="55">
        <v>752744</v>
      </c>
      <c r="M7" s="55">
        <v>4280</v>
      </c>
      <c r="N7" s="56">
        <v>757024</v>
      </c>
    </row>
    <row r="8" spans="1:17" s="5" customFormat="1" ht="15" customHeight="1" x14ac:dyDescent="0.15">
      <c r="A8" s="15" t="s">
        <v>4</v>
      </c>
      <c r="B8" s="15" t="s">
        <v>5</v>
      </c>
      <c r="C8" s="55">
        <v>628510</v>
      </c>
      <c r="D8" s="55">
        <v>92439</v>
      </c>
      <c r="E8" s="55">
        <v>8735</v>
      </c>
      <c r="F8" s="55">
        <v>101174</v>
      </c>
      <c r="G8" s="52">
        <v>16.097436794959506</v>
      </c>
      <c r="H8" s="55">
        <v>4003969</v>
      </c>
      <c r="I8" s="55">
        <v>48834</v>
      </c>
      <c r="J8" s="55">
        <v>4052803</v>
      </c>
      <c r="K8" s="55"/>
      <c r="L8" s="55">
        <v>185465</v>
      </c>
      <c r="M8" s="55">
        <v>1135</v>
      </c>
      <c r="N8" s="56">
        <v>186600</v>
      </c>
    </row>
    <row r="9" spans="1:17" s="1" customFormat="1" ht="15" customHeight="1" x14ac:dyDescent="0.2">
      <c r="A9" s="15" t="s">
        <v>6</v>
      </c>
      <c r="B9" s="15" t="s">
        <v>7</v>
      </c>
      <c r="C9" s="55">
        <v>617386</v>
      </c>
      <c r="D9" s="55">
        <v>72390</v>
      </c>
      <c r="E9" s="55">
        <v>30624</v>
      </c>
      <c r="F9" s="55">
        <v>103014</v>
      </c>
      <c r="G9" s="52">
        <v>16.685509551560937</v>
      </c>
      <c r="H9" s="55">
        <v>6278426</v>
      </c>
      <c r="I9" s="55">
        <v>162930</v>
      </c>
      <c r="J9" s="55">
        <v>6441356</v>
      </c>
      <c r="K9" s="55"/>
      <c r="L9" s="55">
        <v>303897</v>
      </c>
      <c r="M9" s="55">
        <v>4663</v>
      </c>
      <c r="N9" s="56">
        <v>308560</v>
      </c>
    </row>
    <row r="10" spans="1:17" s="1" customFormat="1" ht="15" customHeight="1" x14ac:dyDescent="0.2">
      <c r="A10" s="15" t="s">
        <v>8</v>
      </c>
      <c r="B10" s="15" t="s">
        <v>9</v>
      </c>
      <c r="C10" s="55">
        <v>641501</v>
      </c>
      <c r="D10" s="55">
        <v>223332</v>
      </c>
      <c r="E10" s="55">
        <v>30792</v>
      </c>
      <c r="F10" s="55">
        <v>254124</v>
      </c>
      <c r="G10" s="52">
        <v>39.613967865989295</v>
      </c>
      <c r="H10" s="55">
        <v>37362517.003725491</v>
      </c>
      <c r="I10" s="55">
        <v>279753.86174937361</v>
      </c>
      <c r="J10" s="55">
        <v>37642270.865474865</v>
      </c>
      <c r="K10" s="55"/>
      <c r="L10" s="55">
        <v>1115717</v>
      </c>
      <c r="M10" s="55">
        <v>11515</v>
      </c>
      <c r="N10" s="56">
        <v>1127232</v>
      </c>
      <c r="Q10" s="46"/>
    </row>
    <row r="11" spans="1:17" s="1" customFormat="1" ht="15" customHeight="1" x14ac:dyDescent="0.2">
      <c r="A11" s="15" t="s">
        <v>10</v>
      </c>
      <c r="B11" s="15" t="s">
        <v>11</v>
      </c>
      <c r="C11" s="55">
        <v>1460268</v>
      </c>
      <c r="D11" s="55">
        <v>435162</v>
      </c>
      <c r="E11" s="55">
        <v>197243</v>
      </c>
      <c r="F11" s="55">
        <v>632405</v>
      </c>
      <c r="G11" s="52">
        <v>43.307461370104669</v>
      </c>
      <c r="H11" s="55">
        <v>63916043.410518825</v>
      </c>
      <c r="I11" s="55">
        <v>1525068</v>
      </c>
      <c r="J11" s="55">
        <v>65441111.410518825</v>
      </c>
      <c r="K11" s="55"/>
      <c r="L11" s="55">
        <v>1882656</v>
      </c>
      <c r="M11" s="55">
        <v>49157</v>
      </c>
      <c r="N11" s="56">
        <v>1931813</v>
      </c>
    </row>
    <row r="12" spans="1:17" s="1" customFormat="1" ht="15" customHeight="1" x14ac:dyDescent="0.2">
      <c r="A12" s="15" t="s">
        <v>12</v>
      </c>
      <c r="B12" s="15" t="s">
        <v>13</v>
      </c>
      <c r="C12" s="55">
        <v>1000510</v>
      </c>
      <c r="D12" s="55">
        <v>370480</v>
      </c>
      <c r="E12" s="55">
        <v>109773</v>
      </c>
      <c r="F12" s="55">
        <v>480253</v>
      </c>
      <c r="G12" s="52">
        <v>48.000819582013172</v>
      </c>
      <c r="H12" s="55">
        <v>54821792</v>
      </c>
      <c r="I12" s="55">
        <v>879630</v>
      </c>
      <c r="J12" s="55">
        <v>55701422</v>
      </c>
      <c r="K12" s="55"/>
      <c r="L12" s="55">
        <v>1780092</v>
      </c>
      <c r="M12" s="55">
        <v>31126</v>
      </c>
      <c r="N12" s="56">
        <v>1811218</v>
      </c>
    </row>
    <row r="13" spans="1:17" s="1" customFormat="1" ht="15" customHeight="1" x14ac:dyDescent="0.2">
      <c r="A13" s="15" t="s">
        <v>14</v>
      </c>
      <c r="B13" s="15" t="s">
        <v>15</v>
      </c>
      <c r="C13" s="55">
        <v>1182170</v>
      </c>
      <c r="D13" s="55">
        <v>267651</v>
      </c>
      <c r="E13" s="55">
        <v>210896</v>
      </c>
      <c r="F13" s="55">
        <v>478547</v>
      </c>
      <c r="G13" s="52">
        <v>40.480387761489467</v>
      </c>
      <c r="H13" s="55">
        <v>24534399.067102775</v>
      </c>
      <c r="I13" s="55">
        <v>1116400</v>
      </c>
      <c r="J13" s="55">
        <v>25650799.067102775</v>
      </c>
      <c r="K13" s="55"/>
      <c r="L13" s="55">
        <v>880472</v>
      </c>
      <c r="M13" s="55">
        <v>51784</v>
      </c>
      <c r="N13" s="56">
        <v>932256</v>
      </c>
    </row>
    <row r="14" spans="1:17" s="1" customFormat="1" ht="15" customHeight="1" x14ac:dyDescent="0.2">
      <c r="A14" s="15" t="s">
        <v>16</v>
      </c>
      <c r="B14" s="15" t="s">
        <v>17</v>
      </c>
      <c r="C14" s="55">
        <v>822661</v>
      </c>
      <c r="D14" s="55">
        <v>205985</v>
      </c>
      <c r="E14" s="55">
        <v>120956</v>
      </c>
      <c r="F14" s="55">
        <v>326941</v>
      </c>
      <c r="G14" s="52">
        <v>39.741886390627485</v>
      </c>
      <c r="H14" s="55">
        <v>18089361.867067959</v>
      </c>
      <c r="I14" s="55">
        <v>713585</v>
      </c>
      <c r="J14" s="55">
        <v>18802946.867067959</v>
      </c>
      <c r="K14" s="55"/>
      <c r="L14" s="55">
        <v>581704</v>
      </c>
      <c r="M14" s="55">
        <v>26196</v>
      </c>
      <c r="N14" s="56">
        <v>607900</v>
      </c>
    </row>
    <row r="15" spans="1:17" s="7" customFormat="1" ht="15" customHeight="1" x14ac:dyDescent="0.2">
      <c r="A15" s="15" t="s">
        <v>18</v>
      </c>
      <c r="B15" s="15" t="s">
        <v>19</v>
      </c>
      <c r="C15" s="55">
        <v>1217993</v>
      </c>
      <c r="D15" s="55">
        <v>343503</v>
      </c>
      <c r="E15" s="55">
        <v>245169</v>
      </c>
      <c r="F15" s="55">
        <v>588672</v>
      </c>
      <c r="G15" s="52">
        <v>48.331312248920973</v>
      </c>
      <c r="H15" s="55">
        <v>34229836.180958867</v>
      </c>
      <c r="I15" s="55">
        <v>1374093</v>
      </c>
      <c r="J15" s="55">
        <v>35603929.180958867</v>
      </c>
      <c r="K15" s="55"/>
      <c r="L15" s="55">
        <v>934244</v>
      </c>
      <c r="M15" s="55">
        <v>25206</v>
      </c>
      <c r="N15" s="56">
        <v>959450</v>
      </c>
    </row>
    <row r="16" spans="1:17" s="7" customFormat="1" ht="15" customHeight="1" x14ac:dyDescent="0.2">
      <c r="A16" s="15" t="s">
        <v>20</v>
      </c>
      <c r="B16" s="15" t="s">
        <v>21</v>
      </c>
      <c r="C16" s="55">
        <v>1227859</v>
      </c>
      <c r="D16" s="55">
        <v>546586</v>
      </c>
      <c r="E16" s="55">
        <v>283772</v>
      </c>
      <c r="F16" s="55">
        <v>830358</v>
      </c>
      <c r="G16" s="52">
        <v>67.626494573073941</v>
      </c>
      <c r="H16" s="55">
        <v>69415416.951956689</v>
      </c>
      <c r="I16" s="55">
        <v>2153538</v>
      </c>
      <c r="J16" s="55">
        <v>71568954.951956689</v>
      </c>
      <c r="K16" s="55"/>
      <c r="L16" s="55">
        <v>1846623</v>
      </c>
      <c r="M16" s="55">
        <v>55708</v>
      </c>
      <c r="N16" s="56">
        <v>1902331</v>
      </c>
    </row>
    <row r="17" spans="1:14" s="7" customFormat="1" ht="15" customHeight="1" x14ac:dyDescent="0.2">
      <c r="A17" s="15" t="s">
        <v>22</v>
      </c>
      <c r="B17" s="15" t="s">
        <v>23</v>
      </c>
      <c r="C17" s="55">
        <v>1332567</v>
      </c>
      <c r="D17" s="55">
        <v>328969</v>
      </c>
      <c r="E17" s="55">
        <v>210368</v>
      </c>
      <c r="F17" s="55">
        <v>539337</v>
      </c>
      <c r="G17" s="52">
        <v>40.473537165485865</v>
      </c>
      <c r="H17" s="55">
        <v>23067173.682686549</v>
      </c>
      <c r="I17" s="55">
        <v>1079732</v>
      </c>
      <c r="J17" s="55">
        <v>24146905.682686549</v>
      </c>
      <c r="K17" s="55"/>
      <c r="L17" s="55">
        <v>840706</v>
      </c>
      <c r="M17" s="55">
        <v>35606</v>
      </c>
      <c r="N17" s="56">
        <v>876312</v>
      </c>
    </row>
    <row r="18" spans="1:14" s="7" customFormat="1" ht="15" customHeight="1" x14ac:dyDescent="0.2">
      <c r="A18" s="15" t="s">
        <v>24</v>
      </c>
      <c r="B18" s="15" t="s">
        <v>25</v>
      </c>
      <c r="C18" s="55">
        <v>1406710</v>
      </c>
      <c r="D18" s="55">
        <v>109260</v>
      </c>
      <c r="E18" s="55">
        <v>162074</v>
      </c>
      <c r="F18" s="55">
        <v>271334</v>
      </c>
      <c r="G18" s="52">
        <v>19.288552722309504</v>
      </c>
      <c r="H18" s="55">
        <v>6799342</v>
      </c>
      <c r="I18" s="55">
        <v>883768</v>
      </c>
      <c r="J18" s="55">
        <v>7683110</v>
      </c>
      <c r="K18" s="55"/>
      <c r="L18" s="55">
        <v>251671</v>
      </c>
      <c r="M18" s="55">
        <v>28218</v>
      </c>
      <c r="N18" s="56">
        <v>279889</v>
      </c>
    </row>
    <row r="19" spans="1:14" s="7" customFormat="1" ht="15" customHeight="1" x14ac:dyDescent="0.2">
      <c r="A19" s="15" t="s">
        <v>26</v>
      </c>
      <c r="B19" s="15" t="s">
        <v>27</v>
      </c>
      <c r="C19" s="55">
        <v>1165137</v>
      </c>
      <c r="D19" s="55">
        <v>415368</v>
      </c>
      <c r="E19" s="55">
        <v>239150</v>
      </c>
      <c r="F19" s="55">
        <v>654518</v>
      </c>
      <c r="G19" s="52">
        <v>56.175196564867477</v>
      </c>
      <c r="H19" s="55">
        <v>48811583.060640506</v>
      </c>
      <c r="I19" s="55">
        <v>1672753.7455536125</v>
      </c>
      <c r="J19" s="55">
        <v>50484336.806194119</v>
      </c>
      <c r="K19" s="55"/>
      <c r="L19" s="55">
        <v>1394389</v>
      </c>
      <c r="M19" s="55">
        <v>48845</v>
      </c>
      <c r="N19" s="56">
        <v>1443234</v>
      </c>
    </row>
    <row r="20" spans="1:14" s="7" customFormat="1" ht="15" customHeight="1" x14ac:dyDescent="0.2">
      <c r="A20" s="15" t="s">
        <v>28</v>
      </c>
      <c r="B20" s="15" t="s">
        <v>29</v>
      </c>
      <c r="C20" s="55">
        <v>553937</v>
      </c>
      <c r="D20" s="55">
        <v>109591</v>
      </c>
      <c r="E20" s="55">
        <v>113905</v>
      </c>
      <c r="F20" s="55">
        <v>223496</v>
      </c>
      <c r="G20" s="52">
        <v>40.346826444162424</v>
      </c>
      <c r="H20" s="55">
        <v>9602029.6155032199</v>
      </c>
      <c r="I20" s="55">
        <v>618018</v>
      </c>
      <c r="J20" s="55">
        <v>10220047.61550322</v>
      </c>
      <c r="K20" s="55"/>
      <c r="L20" s="55">
        <v>305865</v>
      </c>
      <c r="M20" s="55">
        <v>11275</v>
      </c>
      <c r="N20" s="56">
        <v>317140</v>
      </c>
    </row>
    <row r="21" spans="1:14" s="7" customFormat="1" ht="15" customHeight="1" x14ac:dyDescent="0.2">
      <c r="A21" s="15" t="s">
        <v>30</v>
      </c>
      <c r="B21" s="15" t="s">
        <v>31</v>
      </c>
      <c r="C21" s="55">
        <v>1079544</v>
      </c>
      <c r="D21" s="55">
        <v>357252</v>
      </c>
      <c r="E21" s="55">
        <v>126290</v>
      </c>
      <c r="F21" s="55">
        <v>483542</v>
      </c>
      <c r="G21" s="52">
        <v>44.791319297777584</v>
      </c>
      <c r="H21" s="55">
        <v>55093800</v>
      </c>
      <c r="I21" s="55">
        <v>915651</v>
      </c>
      <c r="J21" s="55">
        <v>56009451</v>
      </c>
      <c r="K21" s="55"/>
      <c r="L21" s="55">
        <v>1519171</v>
      </c>
      <c r="M21" s="55">
        <v>22801</v>
      </c>
      <c r="N21" s="56">
        <v>1541972</v>
      </c>
    </row>
    <row r="22" spans="1:14" s="7" customFormat="1" ht="15" customHeight="1" x14ac:dyDescent="0.2">
      <c r="A22" s="15" t="s">
        <v>32</v>
      </c>
      <c r="B22" s="15" t="s">
        <v>33</v>
      </c>
      <c r="C22" s="55">
        <v>1419998</v>
      </c>
      <c r="D22" s="55">
        <v>236868</v>
      </c>
      <c r="E22" s="55">
        <v>173189</v>
      </c>
      <c r="F22" s="55">
        <v>410057</v>
      </c>
      <c r="G22" s="52">
        <v>28.877294193372105</v>
      </c>
      <c r="H22" s="55">
        <v>18879221</v>
      </c>
      <c r="I22" s="55">
        <v>1501426</v>
      </c>
      <c r="J22" s="55">
        <v>20380647</v>
      </c>
      <c r="K22" s="55"/>
      <c r="L22" s="55">
        <v>471783</v>
      </c>
      <c r="M22" s="55">
        <v>35024</v>
      </c>
      <c r="N22" s="56">
        <v>506807</v>
      </c>
    </row>
    <row r="23" spans="1:14" s="7" customFormat="1" ht="15" customHeight="1" x14ac:dyDescent="0.2">
      <c r="A23" s="15" t="s">
        <v>34</v>
      </c>
      <c r="B23" s="15" t="s">
        <v>35</v>
      </c>
      <c r="C23" s="55">
        <v>419565</v>
      </c>
      <c r="D23" s="55">
        <v>143824</v>
      </c>
      <c r="E23" s="55">
        <v>96428</v>
      </c>
      <c r="F23" s="55">
        <v>240252</v>
      </c>
      <c r="G23" s="52">
        <v>57.26216438454113</v>
      </c>
      <c r="H23" s="55">
        <v>12174598</v>
      </c>
      <c r="I23" s="55">
        <v>594946</v>
      </c>
      <c r="J23" s="55">
        <v>12769544</v>
      </c>
      <c r="K23" s="55"/>
      <c r="L23" s="55">
        <v>364327</v>
      </c>
      <c r="M23" s="55">
        <v>9645</v>
      </c>
      <c r="N23" s="56">
        <v>373972</v>
      </c>
    </row>
    <row r="24" spans="1:14" s="7" customFormat="1" ht="15" customHeight="1" x14ac:dyDescent="0.2">
      <c r="A24" s="15" t="s">
        <v>36</v>
      </c>
      <c r="B24" s="15" t="s">
        <v>37</v>
      </c>
      <c r="C24" s="55">
        <v>337426</v>
      </c>
      <c r="D24" s="55">
        <v>122909</v>
      </c>
      <c r="E24" s="55">
        <v>20318</v>
      </c>
      <c r="F24" s="55">
        <v>143227</v>
      </c>
      <c r="G24" s="52">
        <v>42.446936513487401</v>
      </c>
      <c r="H24" s="55">
        <v>8965899</v>
      </c>
      <c r="I24" s="55">
        <v>150997</v>
      </c>
      <c r="J24" s="55">
        <v>9116896</v>
      </c>
      <c r="K24" s="55"/>
      <c r="L24" s="55">
        <v>432316</v>
      </c>
      <c r="M24" s="55">
        <v>3174</v>
      </c>
      <c r="N24" s="56">
        <v>435490</v>
      </c>
    </row>
    <row r="25" spans="1:14" s="1" customFormat="1" ht="15" customHeight="1" x14ac:dyDescent="0.2">
      <c r="A25" s="15" t="s">
        <v>38</v>
      </c>
      <c r="B25" s="15" t="s">
        <v>39</v>
      </c>
      <c r="C25" s="55">
        <v>488650</v>
      </c>
      <c r="D25" s="55">
        <v>188426</v>
      </c>
      <c r="E25" s="55">
        <v>19800</v>
      </c>
      <c r="F25" s="55">
        <v>208226</v>
      </c>
      <c r="G25" s="52">
        <v>42.612503837102217</v>
      </c>
      <c r="H25" s="55">
        <v>26601598</v>
      </c>
      <c r="I25" s="55">
        <v>158265</v>
      </c>
      <c r="J25" s="55">
        <v>26759863</v>
      </c>
      <c r="K25" s="55"/>
      <c r="L25" s="55">
        <v>804122</v>
      </c>
      <c r="M25" s="55">
        <v>5119</v>
      </c>
      <c r="N25" s="56">
        <v>809241</v>
      </c>
    </row>
    <row r="26" spans="1:14" s="1" customFormat="1" ht="15" customHeight="1" x14ac:dyDescent="0.2">
      <c r="A26" s="15" t="s">
        <v>40</v>
      </c>
      <c r="B26" s="15" t="s">
        <v>41</v>
      </c>
      <c r="C26" s="55">
        <v>241092</v>
      </c>
      <c r="D26" s="55">
        <v>128263</v>
      </c>
      <c r="E26" s="55">
        <v>4940</v>
      </c>
      <c r="F26" s="55">
        <v>133203</v>
      </c>
      <c r="G26" s="52">
        <v>55.249863122791297</v>
      </c>
      <c r="H26" s="55">
        <v>32943854</v>
      </c>
      <c r="I26" s="55">
        <v>44143</v>
      </c>
      <c r="J26" s="55">
        <v>32987997</v>
      </c>
      <c r="K26" s="55"/>
      <c r="L26" s="55">
        <v>664127</v>
      </c>
      <c r="M26" s="55">
        <v>782</v>
      </c>
      <c r="N26" s="56">
        <v>664909</v>
      </c>
    </row>
    <row r="27" spans="1:14" s="1" customFormat="1" ht="15" customHeight="1" x14ac:dyDescent="0.2">
      <c r="A27" s="15" t="s">
        <v>42</v>
      </c>
      <c r="B27" s="15" t="s">
        <v>43</v>
      </c>
      <c r="C27" s="55">
        <v>819169</v>
      </c>
      <c r="D27" s="55">
        <v>431268</v>
      </c>
      <c r="E27" s="55">
        <v>108695</v>
      </c>
      <c r="F27" s="55">
        <v>539963</v>
      </c>
      <c r="G27" s="52">
        <v>65.915946526296779</v>
      </c>
      <c r="H27" s="55">
        <v>104322499</v>
      </c>
      <c r="I27" s="55">
        <v>978359</v>
      </c>
      <c r="J27" s="55">
        <v>105300858</v>
      </c>
      <c r="K27" s="55"/>
      <c r="L27" s="55">
        <v>2611389</v>
      </c>
      <c r="M27" s="55">
        <v>23819</v>
      </c>
      <c r="N27" s="56">
        <v>2635208</v>
      </c>
    </row>
    <row r="28" spans="1:14" s="1" customFormat="1" ht="15" customHeight="1" x14ac:dyDescent="0.2">
      <c r="A28" s="15" t="s">
        <v>44</v>
      </c>
      <c r="B28" s="15" t="s">
        <v>45</v>
      </c>
      <c r="C28" s="55">
        <v>79192</v>
      </c>
      <c r="D28" s="55">
        <v>40407</v>
      </c>
      <c r="E28" s="55">
        <v>7163</v>
      </c>
      <c r="F28" s="55">
        <v>47570</v>
      </c>
      <c r="G28" s="52">
        <v>60.069198908980702</v>
      </c>
      <c r="H28" s="55">
        <v>4367959</v>
      </c>
      <c r="I28" s="55">
        <v>43114</v>
      </c>
      <c r="J28" s="55">
        <v>4411073</v>
      </c>
      <c r="K28" s="55"/>
      <c r="L28" s="55">
        <v>188956</v>
      </c>
      <c r="M28" s="55">
        <v>1091</v>
      </c>
      <c r="N28" s="56">
        <v>190047</v>
      </c>
    </row>
    <row r="29" spans="1:14" s="1" customFormat="1" ht="15" customHeight="1" x14ac:dyDescent="0.2">
      <c r="A29" s="15" t="s">
        <v>46</v>
      </c>
      <c r="B29" s="15" t="s">
        <v>47</v>
      </c>
      <c r="C29" s="55">
        <v>2577976</v>
      </c>
      <c r="D29" s="55">
        <v>269786</v>
      </c>
      <c r="E29" s="55">
        <v>203443</v>
      </c>
      <c r="F29" s="55">
        <v>473229</v>
      </c>
      <c r="G29" s="52">
        <v>18.356609991714429</v>
      </c>
      <c r="H29" s="55">
        <v>27732571.28933496</v>
      </c>
      <c r="I29" s="55">
        <v>1063267.8772101924</v>
      </c>
      <c r="J29" s="55">
        <v>28795839.166545153</v>
      </c>
      <c r="K29" s="55"/>
      <c r="L29" s="55">
        <v>656071</v>
      </c>
      <c r="M29" s="55">
        <v>29254</v>
      </c>
      <c r="N29" s="56">
        <v>685325</v>
      </c>
    </row>
    <row r="30" spans="1:14" s="1" customFormat="1" ht="15" customHeight="1" x14ac:dyDescent="0.2">
      <c r="A30" s="15" t="s">
        <v>48</v>
      </c>
      <c r="B30" s="15" t="s">
        <v>49</v>
      </c>
      <c r="C30" s="55">
        <v>3957121</v>
      </c>
      <c r="D30" s="55">
        <v>316498</v>
      </c>
      <c r="E30" s="55">
        <v>326570</v>
      </c>
      <c r="F30" s="55">
        <v>643068</v>
      </c>
      <c r="G30" s="52">
        <v>16.250905645796529</v>
      </c>
      <c r="H30" s="55">
        <v>13770480.5</v>
      </c>
      <c r="I30" s="55">
        <v>1693566</v>
      </c>
      <c r="J30" s="55">
        <v>15464046.5</v>
      </c>
      <c r="K30" s="55"/>
      <c r="L30" s="55">
        <v>409496.25</v>
      </c>
      <c r="M30" s="55">
        <v>46004.75</v>
      </c>
      <c r="N30" s="56">
        <v>455501</v>
      </c>
    </row>
    <row r="31" spans="1:14" s="1" customFormat="1" ht="15" customHeight="1" x14ac:dyDescent="0.2">
      <c r="A31" s="15" t="s">
        <v>50</v>
      </c>
      <c r="B31" s="15" t="s">
        <v>51</v>
      </c>
      <c r="C31" s="55">
        <v>999953</v>
      </c>
      <c r="D31" s="55">
        <v>78309</v>
      </c>
      <c r="E31" s="55">
        <v>134179</v>
      </c>
      <c r="F31" s="55">
        <v>212488</v>
      </c>
      <c r="G31" s="52">
        <v>21.249798740540804</v>
      </c>
      <c r="H31" s="55">
        <v>4087315.5</v>
      </c>
      <c r="I31" s="55">
        <v>609289.72333052615</v>
      </c>
      <c r="J31" s="55">
        <v>4696605.2233305257</v>
      </c>
      <c r="K31" s="55"/>
      <c r="L31" s="55">
        <v>117067</v>
      </c>
      <c r="M31" s="55">
        <v>30811.25</v>
      </c>
      <c r="N31" s="56">
        <v>147878.25</v>
      </c>
    </row>
    <row r="32" spans="1:14" s="1" customFormat="1" ht="15" customHeight="1" x14ac:dyDescent="0.2">
      <c r="A32" s="15" t="s">
        <v>52</v>
      </c>
      <c r="B32" s="15" t="s">
        <v>53</v>
      </c>
      <c r="C32" s="55">
        <v>2061764</v>
      </c>
      <c r="D32" s="55">
        <v>771003</v>
      </c>
      <c r="E32" s="55">
        <v>409238</v>
      </c>
      <c r="F32" s="55">
        <v>1180241</v>
      </c>
      <c r="G32" s="52">
        <v>57.244233578624907</v>
      </c>
      <c r="H32" s="55">
        <v>103071314.46396524</v>
      </c>
      <c r="I32" s="55">
        <v>4306449.3571946211</v>
      </c>
      <c r="J32" s="55">
        <v>107377763.82115985</v>
      </c>
      <c r="K32" s="55"/>
      <c r="L32" s="55">
        <v>2576263</v>
      </c>
      <c r="M32" s="55">
        <v>88634</v>
      </c>
      <c r="N32" s="56">
        <v>2664897</v>
      </c>
    </row>
    <row r="33" spans="1:14" s="1" customFormat="1" ht="15" customHeight="1" x14ac:dyDescent="0.2">
      <c r="A33" s="15" t="s">
        <v>54</v>
      </c>
      <c r="B33" s="15" t="s">
        <v>55</v>
      </c>
      <c r="C33" s="55">
        <v>873283</v>
      </c>
      <c r="D33" s="55">
        <v>193359</v>
      </c>
      <c r="E33" s="55">
        <v>211563</v>
      </c>
      <c r="F33" s="55">
        <v>404922</v>
      </c>
      <c r="G33" s="52">
        <v>46.367786845730421</v>
      </c>
      <c r="H33" s="55">
        <v>19826041</v>
      </c>
      <c r="I33" s="55">
        <v>1666940</v>
      </c>
      <c r="J33" s="55">
        <v>21492981</v>
      </c>
      <c r="K33" s="55"/>
      <c r="L33" s="55">
        <v>503094</v>
      </c>
      <c r="M33" s="55">
        <v>31965</v>
      </c>
      <c r="N33" s="56">
        <v>535059</v>
      </c>
    </row>
    <row r="34" spans="1:14" s="1" customFormat="1" ht="15" customHeight="1" x14ac:dyDescent="0.2">
      <c r="A34" s="15" t="s">
        <v>56</v>
      </c>
      <c r="B34" s="15" t="s">
        <v>57</v>
      </c>
      <c r="C34" s="55">
        <v>698630</v>
      </c>
      <c r="D34" s="55">
        <v>188887</v>
      </c>
      <c r="E34" s="55">
        <v>146832</v>
      </c>
      <c r="F34" s="55">
        <v>335719</v>
      </c>
      <c r="G34" s="52">
        <v>48.053905500765786</v>
      </c>
      <c r="H34" s="55">
        <v>18382839</v>
      </c>
      <c r="I34" s="55">
        <v>999131</v>
      </c>
      <c r="J34" s="55">
        <v>19381970</v>
      </c>
      <c r="K34" s="55"/>
      <c r="L34" s="55">
        <v>469481</v>
      </c>
      <c r="M34" s="55">
        <v>14243</v>
      </c>
      <c r="N34" s="56">
        <v>483724</v>
      </c>
    </row>
    <row r="35" spans="1:14" s="1" customFormat="1" ht="15" customHeight="1" x14ac:dyDescent="0.2">
      <c r="A35" s="15" t="s">
        <v>58</v>
      </c>
      <c r="B35" s="15" t="s">
        <v>59</v>
      </c>
      <c r="C35" s="55">
        <v>1417417</v>
      </c>
      <c r="D35" s="55">
        <v>384434</v>
      </c>
      <c r="E35" s="55">
        <v>209226</v>
      </c>
      <c r="F35" s="55">
        <v>593660</v>
      </c>
      <c r="G35" s="52">
        <v>41.883228435950748</v>
      </c>
      <c r="H35" s="55">
        <v>44742139</v>
      </c>
      <c r="I35" s="55">
        <v>1926438.8468543645</v>
      </c>
      <c r="J35" s="55">
        <v>46668577.846854366</v>
      </c>
      <c r="K35" s="55"/>
      <c r="L35" s="55">
        <v>1317589</v>
      </c>
      <c r="M35" s="55">
        <v>31244</v>
      </c>
      <c r="N35" s="56">
        <v>1348833</v>
      </c>
    </row>
    <row r="36" spans="1:14" s="1" customFormat="1" ht="15" customHeight="1" x14ac:dyDescent="0.2">
      <c r="A36" s="15" t="s">
        <v>60</v>
      </c>
      <c r="B36" s="15" t="s">
        <v>61</v>
      </c>
      <c r="C36" s="55">
        <v>1563068</v>
      </c>
      <c r="D36" s="55">
        <v>468129</v>
      </c>
      <c r="E36" s="55">
        <v>367405</v>
      </c>
      <c r="F36" s="55">
        <v>835534</v>
      </c>
      <c r="G36" s="52">
        <v>53.454744131413349</v>
      </c>
      <c r="H36" s="55">
        <v>44320801.520013392</v>
      </c>
      <c r="I36" s="55">
        <v>2210513.6145607508</v>
      </c>
      <c r="J36" s="55">
        <v>46531315.134574145</v>
      </c>
      <c r="K36" s="55"/>
      <c r="L36" s="55">
        <v>1371907</v>
      </c>
      <c r="M36" s="55">
        <v>80567</v>
      </c>
      <c r="N36" s="56">
        <v>1452474</v>
      </c>
    </row>
    <row r="37" spans="1:14" s="1" customFormat="1" ht="15" customHeight="1" x14ac:dyDescent="0.2">
      <c r="A37" s="15" t="s">
        <v>62</v>
      </c>
      <c r="B37" s="15" t="s">
        <v>63</v>
      </c>
      <c r="C37" s="55">
        <v>546954</v>
      </c>
      <c r="D37" s="55">
        <v>145699</v>
      </c>
      <c r="E37" s="55">
        <v>62368</v>
      </c>
      <c r="F37" s="55">
        <v>208067</v>
      </c>
      <c r="G37" s="52">
        <v>38.041041842641249</v>
      </c>
      <c r="H37" s="55">
        <v>13976478.75</v>
      </c>
      <c r="I37" s="55">
        <v>520371</v>
      </c>
      <c r="J37" s="55">
        <v>14496849.75</v>
      </c>
      <c r="K37" s="55"/>
      <c r="L37" s="55">
        <v>509165</v>
      </c>
      <c r="M37" s="55">
        <v>14513</v>
      </c>
      <c r="N37" s="56">
        <v>523678</v>
      </c>
    </row>
    <row r="38" spans="1:14" s="1" customFormat="1" ht="15" customHeight="1" x14ac:dyDescent="0.2">
      <c r="A38" s="15" t="s">
        <v>64</v>
      </c>
      <c r="B38" s="16" t="s">
        <v>65</v>
      </c>
      <c r="C38" s="55">
        <v>1433300</v>
      </c>
      <c r="D38" s="55">
        <v>205620</v>
      </c>
      <c r="E38" s="55">
        <v>315793</v>
      </c>
      <c r="F38" s="55">
        <v>521413</v>
      </c>
      <c r="G38" s="52">
        <v>36.378497174352894</v>
      </c>
      <c r="H38" s="55">
        <v>21258555</v>
      </c>
      <c r="I38" s="55">
        <v>1450570.5488073069</v>
      </c>
      <c r="J38" s="55">
        <v>22709125.548807308</v>
      </c>
      <c r="K38" s="55"/>
      <c r="L38" s="55">
        <v>589657</v>
      </c>
      <c r="M38" s="55">
        <v>56176</v>
      </c>
      <c r="N38" s="56">
        <v>645833</v>
      </c>
    </row>
    <row r="39" spans="1:14" s="1" customFormat="1" ht="15" customHeight="1" x14ac:dyDescent="0.2">
      <c r="A39" s="15" t="s">
        <v>66</v>
      </c>
      <c r="B39" s="15" t="s">
        <v>67</v>
      </c>
      <c r="C39" s="55">
        <v>331318</v>
      </c>
      <c r="D39" s="55">
        <v>112306</v>
      </c>
      <c r="E39" s="55">
        <v>43922</v>
      </c>
      <c r="F39" s="55">
        <v>156228</v>
      </c>
      <c r="G39" s="52">
        <v>47.153490000543286</v>
      </c>
      <c r="H39" s="55">
        <v>9843462</v>
      </c>
      <c r="I39" s="55">
        <v>426713.11396501045</v>
      </c>
      <c r="J39" s="55">
        <v>10270175.11396501</v>
      </c>
      <c r="K39" s="55"/>
      <c r="L39" s="55">
        <v>373504.5</v>
      </c>
      <c r="M39" s="55">
        <v>11141.5</v>
      </c>
      <c r="N39" s="56">
        <v>384646</v>
      </c>
    </row>
    <row r="40" spans="1:14" s="1" customFormat="1" ht="15" customHeight="1" x14ac:dyDescent="0.2">
      <c r="A40" s="15" t="s">
        <v>68</v>
      </c>
      <c r="B40" s="15" t="s">
        <v>69</v>
      </c>
      <c r="C40" s="55">
        <v>447147</v>
      </c>
      <c r="D40" s="55">
        <v>38353</v>
      </c>
      <c r="E40" s="55">
        <v>31933</v>
      </c>
      <c r="F40" s="55">
        <v>70286</v>
      </c>
      <c r="G40" s="52">
        <v>15.718768100870632</v>
      </c>
      <c r="H40" s="55">
        <v>227228</v>
      </c>
      <c r="I40" s="55">
        <v>76016</v>
      </c>
      <c r="J40" s="55">
        <v>303244</v>
      </c>
      <c r="K40" s="55"/>
      <c r="L40" s="55">
        <v>11841</v>
      </c>
      <c r="M40" s="55">
        <v>1920</v>
      </c>
      <c r="N40" s="56">
        <v>13761</v>
      </c>
    </row>
    <row r="41" spans="1:14" s="1" customFormat="1" ht="15" customHeight="1" x14ac:dyDescent="0.2">
      <c r="A41" s="15" t="s">
        <v>70</v>
      </c>
      <c r="B41" s="15" t="s">
        <v>71</v>
      </c>
      <c r="C41" s="55">
        <v>780843</v>
      </c>
      <c r="D41" s="55">
        <v>14450</v>
      </c>
      <c r="E41" s="55">
        <v>9019</v>
      </c>
      <c r="F41" s="55">
        <v>23469</v>
      </c>
      <c r="G41" s="52">
        <v>3.005597796227923</v>
      </c>
      <c r="H41" s="55">
        <v>27854</v>
      </c>
      <c r="I41" s="55">
        <v>30876</v>
      </c>
      <c r="J41" s="55">
        <v>58730</v>
      </c>
      <c r="K41" s="55"/>
      <c r="L41" s="55">
        <v>1629</v>
      </c>
      <c r="M41" s="55">
        <v>617</v>
      </c>
      <c r="N41" s="56">
        <v>2246</v>
      </c>
    </row>
    <row r="42" spans="1:14" s="1" customFormat="1" ht="15" customHeight="1" x14ac:dyDescent="0.2">
      <c r="A42" s="15" t="s">
        <v>72</v>
      </c>
      <c r="B42" s="15" t="s">
        <v>73</v>
      </c>
      <c r="C42" s="55">
        <v>717237</v>
      </c>
      <c r="D42" s="55">
        <v>24953</v>
      </c>
      <c r="E42" s="55">
        <v>35073</v>
      </c>
      <c r="F42" s="55">
        <v>60026</v>
      </c>
      <c r="G42" s="52">
        <v>8.3690607149380192</v>
      </c>
      <c r="H42" s="55">
        <v>811731</v>
      </c>
      <c r="I42" s="55">
        <v>232976</v>
      </c>
      <c r="J42" s="55">
        <v>1044707</v>
      </c>
      <c r="K42" s="55"/>
      <c r="L42" s="55">
        <v>24672</v>
      </c>
      <c r="M42" s="55">
        <v>5073</v>
      </c>
      <c r="N42" s="56">
        <v>29745</v>
      </c>
    </row>
    <row r="43" spans="1:14" s="1" customFormat="1" ht="15" customHeight="1" x14ac:dyDescent="0.2">
      <c r="A43" s="15" t="s">
        <v>74</v>
      </c>
      <c r="B43" s="15" t="s">
        <v>75</v>
      </c>
      <c r="C43" s="55">
        <v>517365</v>
      </c>
      <c r="D43" s="55">
        <v>7336</v>
      </c>
      <c r="E43" s="55">
        <v>7602</v>
      </c>
      <c r="F43" s="55">
        <v>14938</v>
      </c>
      <c r="G43" s="52">
        <v>2.8873232630734589</v>
      </c>
      <c r="H43" s="55">
        <v>21873</v>
      </c>
      <c r="I43" s="55">
        <v>38863</v>
      </c>
      <c r="J43" s="55">
        <v>60736</v>
      </c>
      <c r="K43" s="55"/>
      <c r="L43" s="55">
        <v>697</v>
      </c>
      <c r="M43" s="55">
        <v>203</v>
      </c>
      <c r="N43" s="56">
        <v>900</v>
      </c>
    </row>
    <row r="44" spans="1:14" s="1" customFormat="1" ht="15" customHeight="1" x14ac:dyDescent="0.2">
      <c r="A44" s="15" t="s">
        <v>76</v>
      </c>
      <c r="B44" s="15" t="s">
        <v>77</v>
      </c>
      <c r="C44" s="55">
        <v>669005</v>
      </c>
      <c r="D44" s="55">
        <v>32889</v>
      </c>
      <c r="E44" s="55">
        <v>10779</v>
      </c>
      <c r="F44" s="55">
        <v>43668</v>
      </c>
      <c r="G44" s="52">
        <v>6.5273054760427796</v>
      </c>
      <c r="H44" s="55">
        <v>247188</v>
      </c>
      <c r="I44" s="55">
        <v>32193</v>
      </c>
      <c r="J44" s="55">
        <v>279381</v>
      </c>
      <c r="K44" s="55"/>
      <c r="L44" s="55">
        <v>12181</v>
      </c>
      <c r="M44" s="55">
        <v>642</v>
      </c>
      <c r="N44" s="56">
        <v>12823</v>
      </c>
    </row>
    <row r="45" spans="1:14" s="1" customFormat="1" ht="15" customHeight="1" x14ac:dyDescent="0.2">
      <c r="A45" s="15" t="s">
        <v>78</v>
      </c>
      <c r="B45" s="15" t="s">
        <v>79</v>
      </c>
      <c r="C45" s="55">
        <v>1742082</v>
      </c>
      <c r="D45" s="55">
        <v>59678</v>
      </c>
      <c r="E45" s="55">
        <v>107186</v>
      </c>
      <c r="F45" s="55">
        <v>166864</v>
      </c>
      <c r="G45" s="52">
        <v>9.5784239777461675</v>
      </c>
      <c r="H45" s="55">
        <v>3271003.18328598</v>
      </c>
      <c r="I45" s="55">
        <v>398138.86541673518</v>
      </c>
      <c r="J45" s="55">
        <v>3669142.048702715</v>
      </c>
      <c r="K45" s="55"/>
      <c r="L45" s="55">
        <v>86075</v>
      </c>
      <c r="M45" s="55">
        <v>13220</v>
      </c>
      <c r="N45" s="56">
        <v>99295</v>
      </c>
    </row>
    <row r="46" spans="1:14" s="1" customFormat="1" ht="15" customHeight="1" x14ac:dyDescent="0.2">
      <c r="A46" s="15" t="s">
        <v>80</v>
      </c>
      <c r="B46" s="15" t="s">
        <v>81</v>
      </c>
      <c r="C46" s="55">
        <v>2819148</v>
      </c>
      <c r="D46" s="55">
        <v>206620</v>
      </c>
      <c r="E46" s="55">
        <v>296849</v>
      </c>
      <c r="F46" s="55">
        <v>503469</v>
      </c>
      <c r="G46" s="52">
        <v>17.858906307863226</v>
      </c>
      <c r="H46" s="55">
        <v>14527397.002728812</v>
      </c>
      <c r="I46" s="55">
        <v>1299948.7900915917</v>
      </c>
      <c r="J46" s="55">
        <v>15827345.792820403</v>
      </c>
      <c r="K46" s="55"/>
      <c r="L46" s="55">
        <v>376309</v>
      </c>
      <c r="M46" s="55">
        <v>56207</v>
      </c>
      <c r="N46" s="56">
        <v>432516</v>
      </c>
    </row>
    <row r="47" spans="1:14" s="1" customFormat="1" ht="15" customHeight="1" x14ac:dyDescent="0.2">
      <c r="A47" s="15" t="s">
        <v>82</v>
      </c>
      <c r="B47" s="15" t="s">
        <v>83</v>
      </c>
      <c r="C47" s="55">
        <v>1370370</v>
      </c>
      <c r="D47" s="55">
        <v>157613</v>
      </c>
      <c r="E47" s="55">
        <v>118343</v>
      </c>
      <c r="F47" s="55">
        <v>275956</v>
      </c>
      <c r="G47" s="52">
        <v>20.137335172252751</v>
      </c>
      <c r="H47" s="55">
        <v>9919711.7615925483</v>
      </c>
      <c r="I47" s="55">
        <v>977315.69528144365</v>
      </c>
      <c r="J47" s="55">
        <v>10897027.456873992</v>
      </c>
      <c r="K47" s="55"/>
      <c r="L47" s="55">
        <v>220531</v>
      </c>
      <c r="M47" s="55">
        <v>28562.75</v>
      </c>
      <c r="N47" s="56">
        <v>249093.75</v>
      </c>
    </row>
    <row r="48" spans="1:14" s="1" customFormat="1" ht="15" customHeight="1" x14ac:dyDescent="0.2">
      <c r="A48" s="15" t="s">
        <v>84</v>
      </c>
      <c r="B48" s="15" t="s">
        <v>85</v>
      </c>
      <c r="C48" s="55">
        <v>346160</v>
      </c>
      <c r="D48" s="55">
        <v>176947</v>
      </c>
      <c r="E48" s="55">
        <v>24574</v>
      </c>
      <c r="F48" s="55">
        <v>201521</v>
      </c>
      <c r="G48" s="52">
        <v>58.216142824127573</v>
      </c>
      <c r="H48" s="55">
        <v>44980452.206034392</v>
      </c>
      <c r="I48" s="55">
        <v>273604.10102362826</v>
      </c>
      <c r="J48" s="55">
        <v>45254056.307058021</v>
      </c>
      <c r="K48" s="55"/>
      <c r="L48" s="55">
        <v>1054977</v>
      </c>
      <c r="M48" s="55">
        <v>10097</v>
      </c>
      <c r="N48" s="56">
        <v>1065074</v>
      </c>
    </row>
    <row r="49" spans="1:14" s="1" customFormat="1" ht="15" customHeight="1" x14ac:dyDescent="0.2">
      <c r="A49" s="15" t="s">
        <v>86</v>
      </c>
      <c r="B49" s="15" t="s">
        <v>87</v>
      </c>
      <c r="C49" s="55">
        <v>389553</v>
      </c>
      <c r="D49" s="55">
        <v>242242</v>
      </c>
      <c r="E49" s="55">
        <v>45519</v>
      </c>
      <c r="F49" s="55">
        <v>287761</v>
      </c>
      <c r="G49" s="52">
        <v>73.869537649562446</v>
      </c>
      <c r="H49" s="55">
        <v>54252552.793560036</v>
      </c>
      <c r="I49" s="55">
        <v>422100</v>
      </c>
      <c r="J49" s="55">
        <v>54674652.793560036</v>
      </c>
      <c r="K49" s="55"/>
      <c r="L49" s="55">
        <v>1401845</v>
      </c>
      <c r="M49" s="55">
        <v>14858</v>
      </c>
      <c r="N49" s="56">
        <v>1416703</v>
      </c>
    </row>
    <row r="50" spans="1:14" s="1" customFormat="1" ht="15" customHeight="1" x14ac:dyDescent="0.2">
      <c r="A50" s="15" t="s">
        <v>88</v>
      </c>
      <c r="B50" s="15" t="s">
        <v>89</v>
      </c>
      <c r="C50" s="55">
        <v>228576</v>
      </c>
      <c r="D50" s="55">
        <v>118177</v>
      </c>
      <c r="E50" s="55">
        <v>15354</v>
      </c>
      <c r="F50" s="55">
        <v>133531</v>
      </c>
      <c r="G50" s="52">
        <v>58.41864412711746</v>
      </c>
      <c r="H50" s="55">
        <v>23036377</v>
      </c>
      <c r="I50" s="55">
        <v>123994</v>
      </c>
      <c r="J50" s="55">
        <v>23160371</v>
      </c>
      <c r="K50" s="55"/>
      <c r="L50" s="55">
        <v>591541</v>
      </c>
      <c r="M50" s="55">
        <v>2242</v>
      </c>
      <c r="N50" s="56">
        <v>593783</v>
      </c>
    </row>
    <row r="51" spans="1:14" s="1" customFormat="1" ht="15" customHeight="1" x14ac:dyDescent="0.2">
      <c r="A51" s="15" t="s">
        <v>90</v>
      </c>
      <c r="B51" s="15" t="s">
        <v>91</v>
      </c>
      <c r="C51" s="55">
        <v>1320561</v>
      </c>
      <c r="D51" s="55">
        <v>748069</v>
      </c>
      <c r="E51" s="55">
        <v>128245</v>
      </c>
      <c r="F51" s="55">
        <v>876314</v>
      </c>
      <c r="G51" s="52">
        <v>66.35922157325561</v>
      </c>
      <c r="H51" s="55">
        <v>143643344.1514408</v>
      </c>
      <c r="I51" s="55">
        <v>1223024.7667668539</v>
      </c>
      <c r="J51" s="55">
        <v>144866368.91820765</v>
      </c>
      <c r="K51" s="55"/>
      <c r="L51" s="55">
        <v>4342419</v>
      </c>
      <c r="M51" s="55">
        <v>39103</v>
      </c>
      <c r="N51" s="56">
        <v>4381522</v>
      </c>
    </row>
    <row r="52" spans="1:14" s="1" customFormat="1" ht="15" customHeight="1" x14ac:dyDescent="0.2">
      <c r="A52" s="15" t="s">
        <v>92</v>
      </c>
      <c r="B52" s="15" t="s">
        <v>93</v>
      </c>
      <c r="C52" s="55">
        <v>769942</v>
      </c>
      <c r="D52" s="55">
        <v>117332</v>
      </c>
      <c r="E52" s="55">
        <v>87209</v>
      </c>
      <c r="F52" s="55">
        <v>204541</v>
      </c>
      <c r="G52" s="52">
        <v>26.565767291562221</v>
      </c>
      <c r="H52" s="55">
        <v>17600912</v>
      </c>
      <c r="I52" s="55">
        <v>660775</v>
      </c>
      <c r="J52" s="55">
        <v>18261687</v>
      </c>
      <c r="K52" s="55"/>
      <c r="L52" s="55">
        <v>484212</v>
      </c>
      <c r="M52" s="55">
        <v>20929</v>
      </c>
      <c r="N52" s="56">
        <v>505141</v>
      </c>
    </row>
    <row r="53" spans="1:14" s="1" customFormat="1" ht="15" customHeight="1" x14ac:dyDescent="0.2">
      <c r="A53" s="15" t="s">
        <v>94</v>
      </c>
      <c r="B53" s="15" t="s">
        <v>95</v>
      </c>
      <c r="C53" s="55">
        <v>572565</v>
      </c>
      <c r="D53" s="55">
        <v>296698</v>
      </c>
      <c r="E53" s="55">
        <v>70398</v>
      </c>
      <c r="F53" s="55">
        <v>367096</v>
      </c>
      <c r="G53" s="52">
        <v>64.114292700392099</v>
      </c>
      <c r="H53" s="55">
        <v>52147476</v>
      </c>
      <c r="I53" s="55">
        <v>656907</v>
      </c>
      <c r="J53" s="55">
        <v>52804383</v>
      </c>
      <c r="K53" s="55"/>
      <c r="L53" s="55">
        <v>1435928</v>
      </c>
      <c r="M53" s="55">
        <v>16565</v>
      </c>
      <c r="N53" s="56">
        <v>1452493</v>
      </c>
    </row>
    <row r="54" spans="1:14" s="1" customFormat="1" ht="15" customHeight="1" x14ac:dyDescent="0.2">
      <c r="A54" s="15" t="s">
        <v>96</v>
      </c>
      <c r="B54" s="15" t="s">
        <v>97</v>
      </c>
      <c r="C54" s="55">
        <v>975104</v>
      </c>
      <c r="D54" s="55">
        <v>336190</v>
      </c>
      <c r="E54" s="55">
        <v>53310</v>
      </c>
      <c r="F54" s="55">
        <v>389500</v>
      </c>
      <c r="G54" s="52">
        <v>39.944457206615908</v>
      </c>
      <c r="H54" s="55">
        <v>41882759</v>
      </c>
      <c r="I54" s="55">
        <v>375138</v>
      </c>
      <c r="J54" s="55">
        <v>42257897</v>
      </c>
      <c r="K54" s="55"/>
      <c r="L54" s="55">
        <v>1215179</v>
      </c>
      <c r="M54" s="55">
        <v>9814</v>
      </c>
      <c r="N54" s="56">
        <v>1224993</v>
      </c>
    </row>
    <row r="55" spans="1:14" s="1" customFormat="1" ht="15" customHeight="1" x14ac:dyDescent="0.2">
      <c r="A55" s="15" t="s">
        <v>98</v>
      </c>
      <c r="B55" s="15" t="s">
        <v>99</v>
      </c>
      <c r="C55" s="55">
        <v>999067</v>
      </c>
      <c r="D55" s="55">
        <v>290405</v>
      </c>
      <c r="E55" s="55">
        <v>187974</v>
      </c>
      <c r="F55" s="55">
        <v>478379</v>
      </c>
      <c r="G55" s="52">
        <v>47.882574441954347</v>
      </c>
      <c r="H55" s="55">
        <v>24814130.85776725</v>
      </c>
      <c r="I55" s="55">
        <v>1089259</v>
      </c>
      <c r="J55" s="55">
        <v>25903389.85776725</v>
      </c>
      <c r="K55" s="55"/>
      <c r="L55" s="55">
        <v>746724</v>
      </c>
      <c r="M55" s="55">
        <v>26645</v>
      </c>
      <c r="N55" s="56">
        <v>773369</v>
      </c>
    </row>
    <row r="56" spans="1:14" s="1" customFormat="1" ht="15" customHeight="1" x14ac:dyDescent="0.2">
      <c r="A56" s="15" t="s">
        <v>100</v>
      </c>
      <c r="B56" s="15" t="s">
        <v>101</v>
      </c>
      <c r="C56" s="55">
        <v>1253797</v>
      </c>
      <c r="D56" s="55">
        <v>205147</v>
      </c>
      <c r="E56" s="55">
        <v>269740</v>
      </c>
      <c r="F56" s="55">
        <v>474887</v>
      </c>
      <c r="G56" s="52">
        <v>37.875908141429591</v>
      </c>
      <c r="H56" s="55">
        <v>23464699</v>
      </c>
      <c r="I56" s="55">
        <v>1551565</v>
      </c>
      <c r="J56" s="55">
        <v>25016264</v>
      </c>
      <c r="K56" s="55"/>
      <c r="L56" s="55">
        <v>618003</v>
      </c>
      <c r="M56" s="55">
        <v>48742</v>
      </c>
      <c r="N56" s="56">
        <v>666745</v>
      </c>
    </row>
    <row r="57" spans="1:14" s="1" customFormat="1" ht="15" customHeight="1" x14ac:dyDescent="0.2">
      <c r="A57" s="15" t="s">
        <v>102</v>
      </c>
      <c r="B57" s="15" t="s">
        <v>103</v>
      </c>
      <c r="C57" s="55">
        <v>560474</v>
      </c>
      <c r="D57" s="55">
        <v>101346</v>
      </c>
      <c r="E57" s="55">
        <v>119335</v>
      </c>
      <c r="F57" s="55">
        <v>220681</v>
      </c>
      <c r="G57" s="52">
        <v>39.373994154947418</v>
      </c>
      <c r="H57" s="55">
        <v>10763551.26141588</v>
      </c>
      <c r="I57" s="55">
        <v>854059.96322447353</v>
      </c>
      <c r="J57" s="55">
        <v>11617611.224640355</v>
      </c>
      <c r="K57" s="55"/>
      <c r="L57" s="55">
        <v>356406</v>
      </c>
      <c r="M57" s="55">
        <v>33502</v>
      </c>
      <c r="N57" s="56">
        <v>389908</v>
      </c>
    </row>
    <row r="58" spans="1:14" s="1" customFormat="1" ht="15" customHeight="1" x14ac:dyDescent="0.2">
      <c r="A58" s="15" t="s">
        <v>104</v>
      </c>
      <c r="B58" s="15" t="s">
        <v>105</v>
      </c>
      <c r="C58" s="55">
        <v>521299</v>
      </c>
      <c r="D58" s="55">
        <v>153332</v>
      </c>
      <c r="E58" s="55">
        <v>29211</v>
      </c>
      <c r="F58" s="55">
        <v>182543</v>
      </c>
      <c r="G58" s="52">
        <v>35.016948047090061</v>
      </c>
      <c r="H58" s="55">
        <v>33784694</v>
      </c>
      <c r="I58" s="55">
        <v>353633</v>
      </c>
      <c r="J58" s="55">
        <v>34138327</v>
      </c>
      <c r="K58" s="55"/>
      <c r="L58" s="55">
        <v>853600</v>
      </c>
      <c r="M58" s="55">
        <v>12286</v>
      </c>
      <c r="N58" s="56">
        <v>865886</v>
      </c>
    </row>
    <row r="59" spans="1:14" s="1" customFormat="1" ht="15" customHeight="1" x14ac:dyDescent="0.2">
      <c r="A59" s="15" t="s">
        <v>106</v>
      </c>
      <c r="B59" s="15" t="s">
        <v>107</v>
      </c>
      <c r="C59" s="55">
        <v>587114</v>
      </c>
      <c r="D59" s="55">
        <v>170308</v>
      </c>
      <c r="E59" s="55">
        <v>32588</v>
      </c>
      <c r="F59" s="55">
        <v>202896</v>
      </c>
      <c r="G59" s="52">
        <v>34.558194830986828</v>
      </c>
      <c r="H59" s="55">
        <v>29742186</v>
      </c>
      <c r="I59" s="55">
        <v>267940</v>
      </c>
      <c r="J59" s="55">
        <v>30010126</v>
      </c>
      <c r="K59" s="55"/>
      <c r="L59" s="55">
        <v>853794</v>
      </c>
      <c r="M59" s="55">
        <v>13484</v>
      </c>
      <c r="N59" s="56">
        <v>867278</v>
      </c>
    </row>
    <row r="60" spans="1:14" s="1" customFormat="1" ht="15" customHeight="1" x14ac:dyDescent="0.2">
      <c r="A60" s="15" t="s">
        <v>108</v>
      </c>
      <c r="B60" s="15" t="s">
        <v>109</v>
      </c>
      <c r="C60" s="55">
        <v>711632</v>
      </c>
      <c r="D60" s="55">
        <v>174499</v>
      </c>
      <c r="E60" s="55">
        <v>83654</v>
      </c>
      <c r="F60" s="55">
        <v>258153</v>
      </c>
      <c r="G60" s="52">
        <v>36.276193313397933</v>
      </c>
      <c r="H60" s="55">
        <v>39845461.418699838</v>
      </c>
      <c r="I60" s="55">
        <v>834032</v>
      </c>
      <c r="J60" s="55">
        <v>40679493.418699838</v>
      </c>
      <c r="K60" s="55"/>
      <c r="L60" s="55">
        <v>1053357</v>
      </c>
      <c r="M60" s="55">
        <v>15166</v>
      </c>
      <c r="N60" s="56">
        <v>1068523</v>
      </c>
    </row>
    <row r="61" spans="1:14" s="1" customFormat="1" ht="15" customHeight="1" x14ac:dyDescent="0.2">
      <c r="A61" s="15" t="s">
        <v>110</v>
      </c>
      <c r="B61" s="15" t="s">
        <v>111</v>
      </c>
      <c r="C61" s="55">
        <v>383729</v>
      </c>
      <c r="D61" s="55">
        <v>119090</v>
      </c>
      <c r="E61" s="55">
        <v>55207</v>
      </c>
      <c r="F61" s="55">
        <v>174297</v>
      </c>
      <c r="G61" s="52">
        <v>45.421899309147861</v>
      </c>
      <c r="H61" s="55">
        <v>21400783</v>
      </c>
      <c r="I61" s="55">
        <v>558308</v>
      </c>
      <c r="J61" s="55">
        <v>21959091</v>
      </c>
      <c r="K61" s="55"/>
      <c r="L61" s="55">
        <v>497306</v>
      </c>
      <c r="M61" s="55">
        <v>15760</v>
      </c>
      <c r="N61" s="56">
        <v>513066</v>
      </c>
    </row>
    <row r="62" spans="1:14" s="1" customFormat="1" ht="15" customHeight="1" x14ac:dyDescent="0.2">
      <c r="A62" s="15" t="s">
        <v>112</v>
      </c>
      <c r="B62" s="15" t="s">
        <v>113</v>
      </c>
      <c r="C62" s="55">
        <v>710973</v>
      </c>
      <c r="D62" s="55">
        <v>253205</v>
      </c>
      <c r="E62" s="55">
        <v>163811</v>
      </c>
      <c r="F62" s="55">
        <v>417016</v>
      </c>
      <c r="G62" s="52">
        <v>58.654266758371975</v>
      </c>
      <c r="H62" s="55">
        <v>63123766</v>
      </c>
      <c r="I62" s="55">
        <v>1263000</v>
      </c>
      <c r="J62" s="55">
        <v>64386766</v>
      </c>
      <c r="K62" s="55"/>
      <c r="L62" s="55">
        <v>1268876</v>
      </c>
      <c r="M62" s="55">
        <v>39263</v>
      </c>
      <c r="N62" s="56">
        <v>1308139</v>
      </c>
    </row>
    <row r="63" spans="1:14" s="1" customFormat="1" ht="15" customHeight="1" x14ac:dyDescent="0.2">
      <c r="A63" s="15" t="s">
        <v>114</v>
      </c>
      <c r="B63" s="15" t="s">
        <v>115</v>
      </c>
      <c r="C63" s="55">
        <v>591592</v>
      </c>
      <c r="D63" s="55">
        <v>139800</v>
      </c>
      <c r="E63" s="55">
        <v>99777</v>
      </c>
      <c r="F63" s="55">
        <v>239577</v>
      </c>
      <c r="G63" s="52">
        <v>40.496997931006504</v>
      </c>
      <c r="H63" s="55">
        <v>20765148</v>
      </c>
      <c r="I63" s="55">
        <v>843264</v>
      </c>
      <c r="J63" s="55">
        <v>21608412</v>
      </c>
      <c r="K63" s="55"/>
      <c r="L63" s="55">
        <v>535056</v>
      </c>
      <c r="M63" s="55">
        <v>20796</v>
      </c>
      <c r="N63" s="56">
        <v>555852</v>
      </c>
    </row>
    <row r="64" spans="1:14" s="1" customFormat="1" ht="15" customHeight="1" x14ac:dyDescent="0.2">
      <c r="A64" s="15" t="s">
        <v>116</v>
      </c>
      <c r="B64" s="15" t="s">
        <v>117</v>
      </c>
      <c r="C64" s="55">
        <v>2470413</v>
      </c>
      <c r="D64" s="55">
        <v>139456</v>
      </c>
      <c r="E64" s="55">
        <v>149885</v>
      </c>
      <c r="F64" s="55">
        <v>289341</v>
      </c>
      <c r="G64" s="52">
        <v>11.712252161885482</v>
      </c>
      <c r="H64" s="55">
        <v>17775534</v>
      </c>
      <c r="I64" s="55">
        <v>1136198</v>
      </c>
      <c r="J64" s="55">
        <v>18911732</v>
      </c>
      <c r="K64" s="55"/>
      <c r="L64" s="55">
        <v>439128</v>
      </c>
      <c r="M64" s="55">
        <v>25717</v>
      </c>
      <c r="N64" s="56">
        <v>464845</v>
      </c>
    </row>
    <row r="65" spans="1:14" s="1" customFormat="1" ht="15" customHeight="1" x14ac:dyDescent="0.2">
      <c r="A65" s="15" t="s">
        <v>118</v>
      </c>
      <c r="B65" s="15" t="s">
        <v>119</v>
      </c>
      <c r="C65" s="55">
        <v>1179862</v>
      </c>
      <c r="D65" s="55">
        <v>61426</v>
      </c>
      <c r="E65" s="55">
        <v>197755</v>
      </c>
      <c r="F65" s="55">
        <v>259181</v>
      </c>
      <c r="G65" s="52">
        <v>21.96706055453943</v>
      </c>
      <c r="H65" s="55">
        <v>5141381</v>
      </c>
      <c r="I65" s="55">
        <v>1247677</v>
      </c>
      <c r="J65" s="55">
        <v>6389058</v>
      </c>
      <c r="K65" s="55"/>
      <c r="L65" s="55">
        <v>139296</v>
      </c>
      <c r="M65" s="55">
        <v>53637</v>
      </c>
      <c r="N65" s="56">
        <v>192933</v>
      </c>
    </row>
    <row r="66" spans="1:14" s="1" customFormat="1" ht="15" customHeight="1" x14ac:dyDescent="0.2">
      <c r="A66" s="15" t="s">
        <v>120</v>
      </c>
      <c r="B66" s="15" t="s">
        <v>121</v>
      </c>
      <c r="C66" s="55">
        <v>363809</v>
      </c>
      <c r="D66" s="55">
        <v>17722</v>
      </c>
      <c r="E66" s="55">
        <v>12071</v>
      </c>
      <c r="F66" s="55">
        <v>29793</v>
      </c>
      <c r="G66" s="52">
        <v>8.1891871833846874</v>
      </c>
      <c r="H66" s="55">
        <v>316992</v>
      </c>
      <c r="I66" s="55">
        <v>48610</v>
      </c>
      <c r="J66" s="55">
        <v>365602</v>
      </c>
      <c r="K66" s="55"/>
      <c r="L66" s="55">
        <v>18672</v>
      </c>
      <c r="M66" s="55">
        <v>1851</v>
      </c>
      <c r="N66" s="56">
        <v>20523</v>
      </c>
    </row>
    <row r="67" spans="1:14" s="1" customFormat="1" ht="15" customHeight="1" x14ac:dyDescent="0.2">
      <c r="A67" s="15" t="s">
        <v>122</v>
      </c>
      <c r="B67" s="15" t="s">
        <v>123</v>
      </c>
      <c r="C67" s="55">
        <v>1087975</v>
      </c>
      <c r="D67" s="55">
        <v>495</v>
      </c>
      <c r="E67" s="55">
        <v>4825</v>
      </c>
      <c r="F67" s="55">
        <v>5320</v>
      </c>
      <c r="G67" s="52">
        <v>0.48898182403088308</v>
      </c>
      <c r="H67" s="57">
        <v>634</v>
      </c>
      <c r="I67" s="55">
        <v>42560</v>
      </c>
      <c r="J67" s="55">
        <v>43194</v>
      </c>
      <c r="K67" s="58"/>
      <c r="L67" s="57">
        <v>33</v>
      </c>
      <c r="M67" s="55">
        <v>258</v>
      </c>
      <c r="N67" s="56">
        <v>291</v>
      </c>
    </row>
    <row r="68" spans="1:14" s="1" customFormat="1" ht="15" customHeight="1" x14ac:dyDescent="0.2">
      <c r="A68" s="15" t="s">
        <v>124</v>
      </c>
      <c r="B68" s="15" t="s">
        <v>125</v>
      </c>
      <c r="C68" s="55">
        <v>808808</v>
      </c>
      <c r="D68" s="55">
        <v>36404</v>
      </c>
      <c r="E68" s="55">
        <v>18704</v>
      </c>
      <c r="F68" s="55">
        <v>55108</v>
      </c>
      <c r="G68" s="52">
        <v>6.8134835461568137</v>
      </c>
      <c r="H68" s="55">
        <v>6344411</v>
      </c>
      <c r="I68" s="55">
        <v>112080</v>
      </c>
      <c r="J68" s="55">
        <v>6456491</v>
      </c>
      <c r="K68" s="55"/>
      <c r="L68" s="55">
        <v>148266</v>
      </c>
      <c r="M68" s="55">
        <v>1574</v>
      </c>
      <c r="N68" s="56">
        <v>149840</v>
      </c>
    </row>
    <row r="69" spans="1:14" s="1" customFormat="1" ht="15" customHeight="1" x14ac:dyDescent="0.2">
      <c r="A69" s="15" t="s">
        <v>126</v>
      </c>
      <c r="B69" s="15" t="s">
        <v>127</v>
      </c>
      <c r="C69" s="55">
        <v>534005</v>
      </c>
      <c r="D69" s="55">
        <v>2974</v>
      </c>
      <c r="E69" s="57" t="s">
        <v>182</v>
      </c>
      <c r="F69" s="55">
        <v>2974</v>
      </c>
      <c r="G69" s="52">
        <v>0.5569236243106338</v>
      </c>
      <c r="H69" s="57">
        <v>1631</v>
      </c>
      <c r="I69" s="57">
        <v>0</v>
      </c>
      <c r="J69" s="57">
        <v>1631</v>
      </c>
      <c r="K69" s="57"/>
      <c r="L69" s="57">
        <v>55</v>
      </c>
      <c r="M69" s="57">
        <v>0</v>
      </c>
      <c r="N69" s="56">
        <v>55</v>
      </c>
    </row>
    <row r="70" spans="1:14" ht="15" customHeight="1" x14ac:dyDescent="0.2">
      <c r="A70" s="15" t="s">
        <v>128</v>
      </c>
      <c r="B70" s="15" t="s">
        <v>129</v>
      </c>
      <c r="C70" s="55">
        <v>547671</v>
      </c>
      <c r="D70" s="55">
        <v>34719</v>
      </c>
      <c r="E70" s="55">
        <v>8570</v>
      </c>
      <c r="F70" s="55">
        <v>43289</v>
      </c>
      <c r="G70" s="52">
        <v>7.9041979582632642</v>
      </c>
      <c r="H70" s="55">
        <v>6164941</v>
      </c>
      <c r="I70" s="55">
        <v>46887</v>
      </c>
      <c r="J70" s="55">
        <v>6211828</v>
      </c>
      <c r="K70" s="55"/>
      <c r="L70" s="55">
        <v>129263</v>
      </c>
      <c r="M70" s="55">
        <v>1242</v>
      </c>
      <c r="N70" s="56">
        <v>130505</v>
      </c>
    </row>
    <row r="71" spans="1:14" ht="15" customHeight="1" x14ac:dyDescent="0.2">
      <c r="A71" s="15" t="s">
        <v>130</v>
      </c>
      <c r="B71" s="15" t="s">
        <v>131</v>
      </c>
      <c r="C71" s="55">
        <v>1263081</v>
      </c>
      <c r="D71" s="55">
        <v>70010</v>
      </c>
      <c r="E71" s="55">
        <v>148738</v>
      </c>
      <c r="F71" s="55">
        <v>218748</v>
      </c>
      <c r="G71" s="52">
        <v>17.318604270034939</v>
      </c>
      <c r="H71" s="55">
        <v>1347074</v>
      </c>
      <c r="I71" s="55">
        <v>1131122.8208405117</v>
      </c>
      <c r="J71" s="55">
        <v>2478196.8208405115</v>
      </c>
      <c r="K71" s="55"/>
      <c r="L71" s="55">
        <v>64588.5</v>
      </c>
      <c r="M71" s="55">
        <v>71256.25</v>
      </c>
      <c r="N71" s="56">
        <v>135844.75</v>
      </c>
    </row>
    <row r="72" spans="1:14" ht="15" customHeight="1" x14ac:dyDescent="0.2">
      <c r="A72" s="15" t="s">
        <v>132</v>
      </c>
      <c r="B72" s="15" t="s">
        <v>133</v>
      </c>
      <c r="C72" s="55">
        <v>913111</v>
      </c>
      <c r="D72" s="55">
        <v>50419</v>
      </c>
      <c r="E72" s="55">
        <v>136594</v>
      </c>
      <c r="F72" s="55">
        <v>187013</v>
      </c>
      <c r="G72" s="52">
        <v>20.480861581998244</v>
      </c>
      <c r="H72" s="55">
        <v>761036</v>
      </c>
      <c r="I72" s="55">
        <v>549796.07435467944</v>
      </c>
      <c r="J72" s="55">
        <v>1310832.0743546793</v>
      </c>
      <c r="K72" s="55"/>
      <c r="L72" s="55">
        <v>41760</v>
      </c>
      <c r="M72" s="55">
        <v>24854</v>
      </c>
      <c r="N72" s="56">
        <v>66614</v>
      </c>
    </row>
    <row r="73" spans="1:14" ht="15" customHeight="1" x14ac:dyDescent="0.2">
      <c r="A73" s="15" t="s">
        <v>134</v>
      </c>
      <c r="B73" s="15" t="s">
        <v>135</v>
      </c>
      <c r="C73" s="55">
        <v>805637</v>
      </c>
      <c r="D73" s="55">
        <v>63462</v>
      </c>
      <c r="E73" s="55">
        <v>202876</v>
      </c>
      <c r="F73" s="55">
        <v>266338</v>
      </c>
      <c r="G73" s="52">
        <v>33.059305866041406</v>
      </c>
      <c r="H73" s="55">
        <v>1513134</v>
      </c>
      <c r="I73" s="55">
        <v>1016504.2167841492</v>
      </c>
      <c r="J73" s="55">
        <v>2529638.2167841494</v>
      </c>
      <c r="K73" s="55"/>
      <c r="L73" s="55">
        <v>97167.5</v>
      </c>
      <c r="M73" s="55">
        <v>48772</v>
      </c>
      <c r="N73" s="56">
        <v>145939.5</v>
      </c>
    </row>
    <row r="74" spans="1:14" ht="15" customHeight="1" x14ac:dyDescent="0.2">
      <c r="A74" s="15" t="s">
        <v>136</v>
      </c>
      <c r="B74" s="15" t="s">
        <v>137</v>
      </c>
      <c r="C74" s="55">
        <v>775188</v>
      </c>
      <c r="D74" s="55">
        <v>138219</v>
      </c>
      <c r="E74" s="55">
        <v>133086</v>
      </c>
      <c r="F74" s="55">
        <v>271305</v>
      </c>
      <c r="G74" s="52">
        <v>34.998606789578787</v>
      </c>
      <c r="H74" s="55">
        <v>4335026.25</v>
      </c>
      <c r="I74" s="55">
        <v>785015.6556528057</v>
      </c>
      <c r="J74" s="55">
        <v>5120041.9056528062</v>
      </c>
      <c r="K74" s="55"/>
      <c r="L74" s="55">
        <v>168672</v>
      </c>
      <c r="M74" s="55">
        <v>27115.75</v>
      </c>
      <c r="N74" s="56">
        <v>195787.75</v>
      </c>
    </row>
    <row r="75" spans="1:14" ht="15" customHeight="1" x14ac:dyDescent="0.2">
      <c r="A75" s="15" t="s">
        <v>138</v>
      </c>
      <c r="B75" s="15" t="s">
        <v>139</v>
      </c>
      <c r="C75" s="55">
        <v>1898097</v>
      </c>
      <c r="D75" s="55">
        <v>1907</v>
      </c>
      <c r="E75" s="55">
        <v>43234</v>
      </c>
      <c r="F75" s="55">
        <v>45141</v>
      </c>
      <c r="G75" s="52">
        <v>2.3782240844382558</v>
      </c>
      <c r="H75" s="55">
        <v>66997</v>
      </c>
      <c r="I75" s="55">
        <v>407408</v>
      </c>
      <c r="J75" s="55">
        <v>474405</v>
      </c>
      <c r="K75" s="55"/>
      <c r="L75" s="55">
        <v>1846</v>
      </c>
      <c r="M75" s="55">
        <v>1856</v>
      </c>
      <c r="N75" s="56">
        <v>3702</v>
      </c>
    </row>
    <row r="76" spans="1:14" ht="15" customHeight="1" x14ac:dyDescent="0.2">
      <c r="A76" s="15" t="s">
        <v>140</v>
      </c>
      <c r="B76" s="15" t="s">
        <v>141</v>
      </c>
      <c r="C76" s="55">
        <v>884686</v>
      </c>
      <c r="D76" s="55">
        <v>29651</v>
      </c>
      <c r="E76" s="55">
        <v>48775</v>
      </c>
      <c r="F76" s="55">
        <v>78426</v>
      </c>
      <c r="G76" s="52">
        <v>8.8648401805838457</v>
      </c>
      <c r="H76" s="55">
        <v>1432759.25</v>
      </c>
      <c r="I76" s="55">
        <v>192387.57741461461</v>
      </c>
      <c r="J76" s="55">
        <v>1625146.8274146146</v>
      </c>
      <c r="K76" s="55"/>
      <c r="L76" s="55">
        <v>53833</v>
      </c>
      <c r="M76" s="55">
        <v>11813</v>
      </c>
      <c r="N76" s="56">
        <v>65646</v>
      </c>
    </row>
    <row r="77" spans="1:14" ht="15" customHeight="1" x14ac:dyDescent="0.2">
      <c r="A77" s="15" t="s">
        <v>142</v>
      </c>
      <c r="B77" s="15" t="s">
        <v>143</v>
      </c>
      <c r="C77" s="55">
        <v>1018997</v>
      </c>
      <c r="D77" s="55">
        <v>71542</v>
      </c>
      <c r="E77" s="55">
        <v>108695</v>
      </c>
      <c r="F77" s="55">
        <v>180237</v>
      </c>
      <c r="G77" s="52">
        <v>17.687687009873436</v>
      </c>
      <c r="H77" s="55">
        <v>3030812.75</v>
      </c>
      <c r="I77" s="55">
        <v>414812.27018862864</v>
      </c>
      <c r="J77" s="55">
        <v>3445625.0201886287</v>
      </c>
      <c r="K77" s="55"/>
      <c r="L77" s="55">
        <v>122803.25</v>
      </c>
      <c r="M77" s="55">
        <v>27687.75</v>
      </c>
      <c r="N77" s="56">
        <v>150491</v>
      </c>
    </row>
    <row r="78" spans="1:14" ht="15" customHeight="1" x14ac:dyDescent="0.2">
      <c r="A78" s="15" t="s">
        <v>144</v>
      </c>
      <c r="B78" s="15" t="s">
        <v>145</v>
      </c>
      <c r="C78" s="55">
        <v>753662</v>
      </c>
      <c r="D78" s="55">
        <v>21788</v>
      </c>
      <c r="E78" s="55">
        <v>158059</v>
      </c>
      <c r="F78" s="55">
        <v>179847</v>
      </c>
      <c r="G78" s="52">
        <v>23.863084512686058</v>
      </c>
      <c r="H78" s="55">
        <v>506869.75</v>
      </c>
      <c r="I78" s="55">
        <v>793135.10599228775</v>
      </c>
      <c r="J78" s="55">
        <v>1300004.8559922879</v>
      </c>
      <c r="K78" s="55"/>
      <c r="L78" s="55">
        <v>50608.5</v>
      </c>
      <c r="M78" s="55">
        <v>37607.25</v>
      </c>
      <c r="N78" s="56">
        <v>88215.75</v>
      </c>
    </row>
    <row r="79" spans="1:14" ht="15" customHeight="1" x14ac:dyDescent="0.2">
      <c r="A79" s="15" t="s">
        <v>146</v>
      </c>
      <c r="B79" s="15" t="s">
        <v>147</v>
      </c>
      <c r="C79" s="55">
        <v>688660</v>
      </c>
      <c r="D79" s="55">
        <v>52999</v>
      </c>
      <c r="E79" s="55">
        <v>59618</v>
      </c>
      <c r="F79" s="55">
        <v>112617</v>
      </c>
      <c r="G79" s="52">
        <v>16.353062469142973</v>
      </c>
      <c r="H79" s="55">
        <v>1532699</v>
      </c>
      <c r="I79" s="55">
        <v>269974</v>
      </c>
      <c r="J79" s="55">
        <v>1802673</v>
      </c>
      <c r="K79" s="55"/>
      <c r="L79" s="55">
        <v>75879</v>
      </c>
      <c r="M79" s="55">
        <v>6482</v>
      </c>
      <c r="N79" s="56">
        <v>82361</v>
      </c>
    </row>
    <row r="80" spans="1:14" ht="15" customHeight="1" x14ac:dyDescent="0.2">
      <c r="A80" s="15" t="s">
        <v>148</v>
      </c>
      <c r="B80" s="15" t="s">
        <v>149</v>
      </c>
      <c r="C80" s="55">
        <v>731084</v>
      </c>
      <c r="D80" s="55">
        <v>37476</v>
      </c>
      <c r="E80" s="55">
        <v>121758</v>
      </c>
      <c r="F80" s="55">
        <v>159234</v>
      </c>
      <c r="G80" s="52">
        <v>21.780534110991351</v>
      </c>
      <c r="H80" s="55">
        <v>1314733.75</v>
      </c>
      <c r="I80" s="55">
        <v>782086.82215070364</v>
      </c>
      <c r="J80" s="55">
        <v>2096820.5721507035</v>
      </c>
      <c r="K80" s="55"/>
      <c r="L80" s="55">
        <v>40225.25</v>
      </c>
      <c r="M80" s="55">
        <v>31345.25</v>
      </c>
      <c r="N80" s="56">
        <v>71570.5</v>
      </c>
    </row>
    <row r="81" spans="1:15" ht="15" customHeight="1" x14ac:dyDescent="0.2">
      <c r="A81" s="15" t="s">
        <v>150</v>
      </c>
      <c r="B81" s="15" t="s">
        <v>151</v>
      </c>
      <c r="C81" s="55">
        <v>131457</v>
      </c>
      <c r="D81" s="55">
        <v>14646</v>
      </c>
      <c r="E81" s="55">
        <v>12386</v>
      </c>
      <c r="F81" s="55">
        <v>27032</v>
      </c>
      <c r="G81" s="52">
        <v>20.563378138859093</v>
      </c>
      <c r="H81" s="55">
        <v>339478</v>
      </c>
      <c r="I81" s="55">
        <v>49546</v>
      </c>
      <c r="J81" s="55">
        <v>389024</v>
      </c>
      <c r="K81" s="55"/>
      <c r="L81" s="55">
        <v>16729</v>
      </c>
      <c r="M81" s="55">
        <v>1760</v>
      </c>
      <c r="N81" s="56">
        <v>18489</v>
      </c>
    </row>
    <row r="82" spans="1:15" ht="15" customHeight="1" x14ac:dyDescent="0.2">
      <c r="A82" s="15" t="s">
        <v>152</v>
      </c>
      <c r="B82" s="15" t="s">
        <v>153</v>
      </c>
      <c r="C82" s="55">
        <v>1919798</v>
      </c>
      <c r="D82" s="55">
        <v>9523</v>
      </c>
      <c r="E82" s="55">
        <v>5327</v>
      </c>
      <c r="F82" s="55">
        <v>14850</v>
      </c>
      <c r="G82" s="52">
        <v>0.77351888063223317</v>
      </c>
      <c r="H82" s="55">
        <v>150890</v>
      </c>
      <c r="I82" s="55">
        <v>42865</v>
      </c>
      <c r="J82" s="55">
        <v>193755</v>
      </c>
      <c r="K82" s="55"/>
      <c r="L82" s="55">
        <v>7858</v>
      </c>
      <c r="M82" s="55">
        <v>2835</v>
      </c>
      <c r="N82" s="56">
        <v>10693</v>
      </c>
    </row>
    <row r="83" spans="1:15" ht="15" customHeight="1" x14ac:dyDescent="0.2">
      <c r="A83" s="15" t="s">
        <v>154</v>
      </c>
      <c r="B83" s="15" t="s">
        <v>155</v>
      </c>
      <c r="C83" s="55">
        <v>1516918</v>
      </c>
      <c r="D83" s="55">
        <v>44949</v>
      </c>
      <c r="E83" s="55">
        <v>280410</v>
      </c>
      <c r="F83" s="55">
        <v>325359</v>
      </c>
      <c r="G83" s="52">
        <v>21.448687404329039</v>
      </c>
      <c r="H83" s="55">
        <v>720125.25</v>
      </c>
      <c r="I83" s="55">
        <v>1389060.1963016526</v>
      </c>
      <c r="J83" s="55">
        <v>2109185.4463016526</v>
      </c>
      <c r="K83" s="55"/>
      <c r="L83" s="55">
        <v>50565.75</v>
      </c>
      <c r="M83" s="55">
        <v>47443.25</v>
      </c>
      <c r="N83" s="56">
        <v>98009</v>
      </c>
    </row>
    <row r="84" spans="1:15" ht="15" customHeight="1" x14ac:dyDescent="0.2">
      <c r="A84" s="15" t="s">
        <v>156</v>
      </c>
      <c r="B84" s="15" t="s">
        <v>157</v>
      </c>
      <c r="C84" s="55">
        <v>874277</v>
      </c>
      <c r="D84" s="55">
        <v>1648</v>
      </c>
      <c r="E84" s="55">
        <v>203156</v>
      </c>
      <c r="F84" s="55">
        <v>204804</v>
      </c>
      <c r="G84" s="52">
        <v>23.425527607383014</v>
      </c>
      <c r="H84" s="55">
        <v>670</v>
      </c>
      <c r="I84" s="55">
        <v>1475597</v>
      </c>
      <c r="J84" s="55">
        <v>1476267</v>
      </c>
      <c r="K84" s="55"/>
      <c r="L84" s="55">
        <v>55</v>
      </c>
      <c r="M84" s="55">
        <v>54695</v>
      </c>
      <c r="N84" s="56">
        <v>54750</v>
      </c>
    </row>
    <row r="85" spans="1:15" ht="15" customHeight="1" x14ac:dyDescent="0.2">
      <c r="A85" s="15" t="s">
        <v>158</v>
      </c>
      <c r="B85" s="15" t="s">
        <v>159</v>
      </c>
      <c r="C85" s="55">
        <v>425240</v>
      </c>
      <c r="D85" s="55">
        <v>48818</v>
      </c>
      <c r="E85" s="55">
        <v>66101</v>
      </c>
      <c r="F85" s="55">
        <v>114919</v>
      </c>
      <c r="G85" s="52">
        <v>27.024503809613396</v>
      </c>
      <c r="H85" s="55">
        <v>953007</v>
      </c>
      <c r="I85" s="55">
        <v>429157.18510068714</v>
      </c>
      <c r="J85" s="55">
        <v>1382164.1851006872</v>
      </c>
      <c r="K85" s="55"/>
      <c r="L85" s="55">
        <v>39769.75</v>
      </c>
      <c r="M85" s="55">
        <v>14167</v>
      </c>
      <c r="N85" s="56">
        <v>53936.75</v>
      </c>
    </row>
    <row r="86" spans="1:15" ht="15" customHeight="1" x14ac:dyDescent="0.2">
      <c r="A86" s="15" t="s">
        <v>160</v>
      </c>
      <c r="B86" s="15" t="s">
        <v>161</v>
      </c>
      <c r="C86" s="55">
        <v>672427</v>
      </c>
      <c r="D86" s="55">
        <v>102181</v>
      </c>
      <c r="E86" s="55">
        <v>194924</v>
      </c>
      <c r="F86" s="55">
        <v>297105</v>
      </c>
      <c r="G86" s="52">
        <v>44.183978335194752</v>
      </c>
      <c r="H86" s="55">
        <v>3582955.75</v>
      </c>
      <c r="I86" s="55">
        <v>832876.03379918297</v>
      </c>
      <c r="J86" s="55">
        <v>4415831.7837991826</v>
      </c>
      <c r="K86" s="55"/>
      <c r="L86" s="55">
        <v>183329.5</v>
      </c>
      <c r="M86" s="55">
        <v>42528.5</v>
      </c>
      <c r="N86" s="56">
        <v>225858</v>
      </c>
    </row>
    <row r="87" spans="1:15" ht="15" customHeight="1" thickBot="1" x14ac:dyDescent="0.25">
      <c r="A87" s="17" t="s">
        <v>162</v>
      </c>
      <c r="B87" s="17" t="s">
        <v>163</v>
      </c>
      <c r="C87" s="45">
        <v>610208</v>
      </c>
      <c r="D87" s="45">
        <v>47109</v>
      </c>
      <c r="E87" s="45">
        <v>185155</v>
      </c>
      <c r="F87" s="45">
        <v>232264</v>
      </c>
      <c r="G87" s="47">
        <f t="shared" ref="G87" si="0">(F87*100)/C87</f>
        <v>38.06308668519587</v>
      </c>
      <c r="H87" s="45">
        <v>1159246.5</v>
      </c>
      <c r="I87" s="45">
        <v>1387598.170389612</v>
      </c>
      <c r="J87" s="45">
        <v>2546844.6703896122</v>
      </c>
      <c r="K87" s="45"/>
      <c r="L87" s="45">
        <v>27114</v>
      </c>
      <c r="M87" s="45">
        <v>86178</v>
      </c>
      <c r="N87" s="59">
        <v>113292</v>
      </c>
    </row>
    <row r="88" spans="1:15" s="20" customFormat="1" ht="15" customHeight="1" x14ac:dyDescent="0.2">
      <c r="A88" s="22" t="s">
        <v>176</v>
      </c>
      <c r="B88" s="23"/>
      <c r="C88" s="23"/>
      <c r="D88" s="23"/>
      <c r="E88" s="23"/>
      <c r="F88" s="23"/>
      <c r="G88" s="39"/>
      <c r="H88" s="31"/>
      <c r="I88" s="31"/>
      <c r="J88" s="31"/>
      <c r="K88" s="31"/>
      <c r="L88" s="49" t="s">
        <v>178</v>
      </c>
      <c r="M88" s="43"/>
      <c r="N88" s="44"/>
      <c r="O88" s="37"/>
    </row>
    <row r="89" spans="1:15" ht="15" x14ac:dyDescent="0.2">
      <c r="A89" s="33" t="s">
        <v>177</v>
      </c>
      <c r="B89" s="34"/>
      <c r="C89" s="34"/>
      <c r="D89" s="34"/>
      <c r="E89" s="34"/>
      <c r="F89" s="34"/>
      <c r="G89" s="40"/>
      <c r="H89" s="36"/>
      <c r="I89" s="35"/>
      <c r="J89" s="21"/>
      <c r="K89" s="21"/>
      <c r="L89" s="60" t="s">
        <v>179</v>
      </c>
      <c r="M89" s="60"/>
      <c r="N89" s="60"/>
    </row>
    <row r="90" spans="1:15" x14ac:dyDescent="0.2">
      <c r="L90" s="60"/>
      <c r="M90" s="60"/>
      <c r="N90" s="60"/>
    </row>
  </sheetData>
  <mergeCells count="7">
    <mergeCell ref="L89:N90"/>
    <mergeCell ref="L3:N3"/>
    <mergeCell ref="A5:B5"/>
    <mergeCell ref="C3:C4"/>
    <mergeCell ref="D3:F3"/>
    <mergeCell ref="G3:G4"/>
    <mergeCell ref="H3:J3"/>
  </mergeCells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Alan-Servet-Artım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2025-05-27T06:44:48Z</dcterms:modified>
</cp:coreProperties>
</file>