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4\2 ORMANLARIN SAĞLIĞI CANLILIĞI VE BÜTÜNLÜĞÜ\"/>
    </mc:Choice>
  </mc:AlternateContent>
  <xr:revisionPtr revIDLastSave="0" documentId="13_ncr:1_{C7B75B64-E8A5-4FF3-A858-9143CEAF1C21}" xr6:coauthVersionLast="47" xr6:coauthVersionMax="47" xr10:uidLastSave="{00000000-0000-0000-0000-000000000000}"/>
  <bookViews>
    <workbookView xWindow="-120" yWindow="-120" windowWidth="29040" windowHeight="15840" xr2:uid="{00000000-000D-0000-FFFF-FFFF00000000}"/>
  </bookViews>
  <sheets>
    <sheet name="2.1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 i="1" l="1"/>
  <c r="S6" i="1"/>
  <c r="Q6" i="1"/>
  <c r="P6" i="1"/>
  <c r="O6" i="1"/>
  <c r="M6" i="1"/>
  <c r="K6" i="1"/>
  <c r="H6" i="1"/>
  <c r="G6" i="1"/>
  <c r="F6" i="1"/>
  <c r="C6" i="1"/>
  <c r="B6" i="1"/>
</calcChain>
</file>

<file path=xl/sharedStrings.xml><?xml version="1.0" encoding="utf-8"?>
<sst xmlns="http://schemas.openxmlformats.org/spreadsheetml/2006/main" count="258" uniqueCount="64">
  <si>
    <r>
      <t>(Hektar -</t>
    </r>
    <r>
      <rPr>
        <sz val="8"/>
        <rFont val="Tahoma"/>
        <family val="2"/>
        <charset val="162"/>
      </rPr>
      <t xml:space="preserve"> Hectare</t>
    </r>
    <r>
      <rPr>
        <b/>
        <sz val="8"/>
        <rFont val="Tahoma"/>
        <family val="2"/>
        <charset val="162"/>
      </rPr>
      <t>)</t>
    </r>
  </si>
  <si>
    <r>
      <t xml:space="preserve">Anız        </t>
    </r>
    <r>
      <rPr>
        <sz val="8"/>
        <rFont val="Tahoma"/>
        <family val="2"/>
        <charset val="162"/>
      </rPr>
      <t>Stubble fire</t>
    </r>
  </si>
  <si>
    <r>
      <t xml:space="preserve">Çöplük    </t>
    </r>
    <r>
      <rPr>
        <sz val="8"/>
        <rFont val="Tahoma"/>
        <family val="2"/>
        <charset val="162"/>
      </rPr>
      <t>Dump</t>
    </r>
  </si>
  <si>
    <r>
      <t xml:space="preserve">Sigara </t>
    </r>
    <r>
      <rPr>
        <sz val="8"/>
        <rFont val="Tahoma"/>
        <family val="2"/>
        <charset val="162"/>
      </rPr>
      <t>Cigarette</t>
    </r>
  </si>
  <si>
    <r>
      <t xml:space="preserve">Piknik  </t>
    </r>
    <r>
      <rPr>
        <sz val="8"/>
        <rFont val="Tahoma"/>
        <family val="2"/>
        <charset val="162"/>
      </rPr>
      <t>Picnic</t>
    </r>
  </si>
  <si>
    <r>
      <t xml:space="preserve">Diğer  </t>
    </r>
    <r>
      <rPr>
        <sz val="8"/>
        <rFont val="Tahoma"/>
        <family val="2"/>
        <charset val="162"/>
      </rPr>
      <t>Other</t>
    </r>
  </si>
  <si>
    <r>
      <t>Terör</t>
    </r>
    <r>
      <rPr>
        <sz val="8"/>
        <rFont val="Tahoma"/>
        <family val="2"/>
        <charset val="162"/>
      </rPr>
      <t xml:space="preserve"> Terror</t>
    </r>
  </si>
  <si>
    <r>
      <t xml:space="preserve">Kundaklama     </t>
    </r>
    <r>
      <rPr>
        <sz val="8"/>
        <rFont val="Tahoma"/>
        <family val="2"/>
        <charset val="162"/>
      </rPr>
      <t>Incension</t>
    </r>
  </si>
  <si>
    <r>
      <t xml:space="preserve">Açma </t>
    </r>
    <r>
      <rPr>
        <sz val="8"/>
        <rFont val="Tahoma"/>
        <family val="2"/>
        <charset val="162"/>
      </rPr>
      <t>Expanding</t>
    </r>
  </si>
  <si>
    <r>
      <t xml:space="preserve">Enerji </t>
    </r>
    <r>
      <rPr>
        <sz val="8"/>
        <rFont val="Tahoma"/>
        <family val="2"/>
        <charset val="162"/>
      </rPr>
      <t>Energy</t>
    </r>
  </si>
  <si>
    <r>
      <t xml:space="preserve">Trafik </t>
    </r>
    <r>
      <rPr>
        <sz val="8"/>
        <rFont val="Tahoma"/>
        <family val="2"/>
        <charset val="162"/>
      </rPr>
      <t>Traffic</t>
    </r>
  </si>
  <si>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</si>
  <si>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</si>
  <si>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</si>
  <si>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</si>
  <si>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</si>
  <si>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</si>
  <si>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</si>
  <si>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</si>
  <si>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</si>
  <si>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</si>
  <si>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</si>
  <si>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</si>
  <si>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</si>
  <si>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</si>
  <si>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</si>
  <si>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</si>
  <si>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</si>
  <si>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</si>
  <si>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</si>
  <si>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</si>
  <si>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</si>
  <si>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</si>
  <si>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</si>
  <si>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</si>
  <si>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</si>
  <si>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r>
      <t>Toplam-</t>
    </r>
    <r>
      <rPr>
        <sz val="8"/>
        <rFont val="Tahoma"/>
        <family val="2"/>
        <charset val="162"/>
      </rPr>
      <t>Total</t>
    </r>
  </si>
  <si>
    <t xml:space="preserve">Kasıt   </t>
  </si>
  <si>
    <t>Kaza</t>
  </si>
  <si>
    <t>Negligence</t>
  </si>
  <si>
    <t>Intentional</t>
  </si>
  <si>
    <t>Accident</t>
  </si>
  <si>
    <t xml:space="preserve">            İhmal            </t>
  </si>
  <si>
    <r>
      <rPr>
        <b/>
        <sz val="8"/>
        <rFont val="Tahoma"/>
        <family val="2"/>
        <charset val="162"/>
      </rPr>
      <t xml:space="preserve"> Doğal </t>
    </r>
    <r>
      <rPr>
        <sz val="8"/>
        <rFont val="Tahoma"/>
        <family val="2"/>
        <charset val="162"/>
      </rPr>
      <t xml:space="preserve">              Natural (Lighting)</t>
    </r>
  </si>
  <si>
    <r>
      <t xml:space="preserve"> Toplam                               </t>
    </r>
    <r>
      <rPr>
        <sz val="8"/>
        <rFont val="Tahoma"/>
        <family val="2"/>
        <charset val="162"/>
      </rPr>
      <t>Total</t>
    </r>
  </si>
  <si>
    <t>Sakarya</t>
  </si>
  <si>
    <t>Şanlıurfa</t>
  </si>
  <si>
    <t>Çanakkale</t>
  </si>
  <si>
    <r>
      <t xml:space="preserve">Orman Bölge Müdürlüğü                 </t>
    </r>
    <r>
      <rPr>
        <sz val="8"/>
        <rFont val="Tahoma"/>
        <family val="2"/>
        <charset val="162"/>
      </rPr>
      <t>Regional directorates of forestry</t>
    </r>
  </si>
  <si>
    <r>
      <rPr>
        <b/>
        <sz val="8"/>
        <rFont val="Tahoma"/>
        <family val="2"/>
        <charset val="162"/>
      </rPr>
      <t xml:space="preserve">Sebebi Bilinmeyen </t>
    </r>
    <r>
      <rPr>
        <sz val="8"/>
        <rFont val="Tahoma"/>
        <family val="2"/>
        <charset val="162"/>
      </rPr>
      <t xml:space="preserve">                   Unknown</t>
    </r>
  </si>
  <si>
    <r>
      <t xml:space="preserve">Diğer              </t>
    </r>
    <r>
      <rPr>
        <sz val="8"/>
        <rFont val="Tahoma"/>
        <family val="2"/>
        <charset val="162"/>
      </rPr>
      <t>Other</t>
    </r>
  </si>
  <si>
    <t>DKMPGM</t>
  </si>
  <si>
    <t>Not:Tarım ve Orman Bakanlığı Doğa Koruma ve Milli Parklar Genel Müdürlüğü (DKMPGM) sorumluluğunda bulunan millipark, tabiat parkı gibi sahalarda meydana gelen yangın verileri ayrı bir başlık altında sınıflandırılmıştır.</t>
  </si>
  <si>
    <t>Note:Fire data occurring in areas such as national parks and nature parks, which are under the responsibility of the Ministry of Agriculture and Forestry, General Directorate of Nature Conservation and National Parks, are classified under a separate heading.</t>
  </si>
  <si>
    <t>Hatay</t>
  </si>
  <si>
    <t>Sinop</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</si>
  <si>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</si>
  <si>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</si>
  <si>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</si>
  <si>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</si>
  <si>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2.15 Yangınların çıkış sebeplerine göre bölge müdürlüklerine alan olarak dağılımı, 2024</t>
  </si>
  <si>
    <t xml:space="preserve">        The distribution of the area to regional directorates according to reason out the fire, 2024</t>
  </si>
  <si>
    <r>
      <t xml:space="preserve">Avcılık/Çoban Ateşi </t>
    </r>
    <r>
      <rPr>
        <sz val="8"/>
        <rFont val="Tahoma"/>
        <family val="2"/>
        <charset val="162"/>
      </rPr>
      <t>Hunting</t>
    </r>
    <r>
      <rPr>
        <b/>
        <sz val="8"/>
        <rFont val="Tahoma"/>
        <family val="2"/>
        <charset val="162"/>
      </rPr>
      <t xml:space="preserve">/ </t>
    </r>
    <r>
      <rPr>
        <sz val="8"/>
        <rFont val="Tahoma"/>
        <family val="2"/>
        <charset val="162"/>
      </rPr>
      <t>Shepherd fire</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</si>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</sst>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T_L_-;\-* #,##0.00\ _T_L_-;_-* &quot;-&quot;??\ _T_L_-;_-@_-"/>
    <numFmt numFmtId="165" formatCode="[$-41F]General"/>
    <numFmt numFmtId="166" formatCode="###\ ###\ ###"/>
    <numFmt numFmtId="167" formatCode="0.000"/>
  </numFmts>
  <fonts count="34"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9"/>
      <name val="Tahoma"/>
      <family val="2"/>
      <charset val="162"/>
    </font>
    <font>
      <b/>
      <sz val="8"/>
      <name val="Tahoma"/>
      <family val="2"/>
      <charset val="162"/>
    </font>
    <font>
      <sz val="8"/>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11"/>
      <color theme="1"/>
      <name val="Times New Roman"/>
      <family val="1"/>
      <charset val="162"/>
    </font>
    <font>
      <sz val="9"/>
      <name val="Tahoma"/>
      <family val="2"/>
      <charset val="162"/>
    </font>
    <font>
      <sz val="7"/>
      <name val="Tahoma"/>
      <family val="2"/>
      <charset val="162"/>
    </font>
    <font>
      <sz val="8"/>
      <name val="Arial"/>
      <family val="2"/>
      <charset val="162"/>
    </font>
    <font>
      <sz val="7"/>
      <color theme="1"/>
      <name val="Tahoma"/>
      <family val="2"/>
      <charset val="162"/>
    </font>
    <font>
      <b/>
      <sz val="8"/>
      <color theme="1"/>
      <name val="Tahoma"/>
      <family val="2"/>
      <charset val="16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5">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diagonal/>
    </border>
    <border>
      <left/>
      <right/>
      <top style="thin">
        <color indexed="64"/>
      </top>
      <bottom style="thin">
        <color indexed="64"/>
      </bottom>
      <diagonal/>
    </border>
  </borders>
  <cellStyleXfs count="104">
    <xf numFmtId="0" fontId="0" fillId="0" borderId="0"/>
    <xf numFmtId="0" fontId="2" fillId="0" borderId="0"/>
    <xf numFmtId="0" fontId="4" fillId="0" borderId="0"/>
    <xf numFmtId="0" fontId="3" fillId="0" borderId="0"/>
    <xf numFmtId="0" fontId="3" fillId="0" borderId="0"/>
    <xf numFmtId="0" fontId="4" fillId="0" borderId="0"/>
    <xf numFmtId="0" fontId="1"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9" fillId="5"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8"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3" borderId="0" applyNumberFormat="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164" fontId="9" fillId="0" borderId="0" applyFont="0" applyFill="0" applyBorder="0" applyAlignment="0" applyProtection="0"/>
    <xf numFmtId="0" fontId="18" fillId="21" borderId="8" applyNumberFormat="0" applyAlignment="0" applyProtection="0"/>
    <xf numFmtId="0" fontId="19" fillId="22" borderId="9" applyNumberFormat="0" applyAlignment="0" applyProtection="0"/>
    <xf numFmtId="0" fontId="20" fillId="21" borderId="10" applyNumberFormat="0" applyAlignment="0" applyProtection="0"/>
    <xf numFmtId="165" fontId="21" fillId="0" borderId="0" applyBorder="0" applyProtection="0"/>
    <xf numFmtId="0" fontId="11" fillId="0" borderId="0" applyNumberFormat="0" applyFill="0" applyBorder="0" applyAlignment="0" applyProtection="0"/>
    <xf numFmtId="0" fontId="22" fillId="11" borderId="8" applyNumberFormat="0" applyAlignment="0" applyProtection="0"/>
    <xf numFmtId="0" fontId="23" fillId="4" borderId="0" applyNumberFormat="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21" borderId="8" applyNumberFormat="0" applyAlignment="0" applyProtection="0"/>
    <xf numFmtId="0" fontId="22" fillId="11" borderId="8" applyNumberFormat="0" applyAlignment="0" applyProtection="0"/>
    <xf numFmtId="0" fontId="19" fillId="22" borderId="9" applyNumberFormat="0" applyAlignment="0" applyProtection="0"/>
    <xf numFmtId="0" fontId="23" fillId="4" borderId="0" applyNumberFormat="0" applyBorder="0" applyAlignment="0" applyProtection="0"/>
    <xf numFmtId="0" fontId="13" fillId="3" borderId="0" applyNumberFormat="0" applyBorder="0" applyAlignment="0" applyProtection="0"/>
    <xf numFmtId="0" fontId="14" fillId="0" borderId="4" applyNumberFormat="0" applyFill="0" applyAlignment="0" applyProtection="0"/>
    <xf numFmtId="0" fontId="24" fillId="23" borderId="0" applyNumberFormat="0" applyBorder="0" applyAlignment="0" applyProtection="0"/>
    <xf numFmtId="0" fontId="3" fillId="0" borderId="0"/>
    <xf numFmtId="0" fontId="25" fillId="0" borderId="0"/>
    <xf numFmtId="0" fontId="3" fillId="0" borderId="0"/>
    <xf numFmtId="0" fontId="4" fillId="24" borderId="11" applyNumberFormat="0" applyFont="0" applyAlignment="0" applyProtection="0"/>
    <xf numFmtId="0" fontId="9" fillId="24" borderId="11" applyNumberFormat="0" applyFont="0" applyAlignment="0" applyProtection="0"/>
    <xf numFmtId="0" fontId="24" fillId="23" borderId="0" applyNumberFormat="0" applyBorder="0" applyAlignment="0" applyProtection="0"/>
    <xf numFmtId="0" fontId="20" fillId="21" borderId="10" applyNumberFormat="0" applyAlignment="0" applyProtection="0"/>
    <xf numFmtId="0" fontId="12" fillId="0" borderId="0" applyNumberFormat="0" applyFill="0" applyBorder="0" applyAlignment="0" applyProtection="0"/>
    <xf numFmtId="0" fontId="26" fillId="0" borderId="12" applyNumberFormat="0" applyFill="0" applyAlignment="0" applyProtection="0"/>
    <xf numFmtId="0" fontId="26" fillId="0" borderId="12" applyNumberFormat="0" applyFill="0" applyAlignment="0" applyProtection="0"/>
    <xf numFmtId="0" fontId="27" fillId="0" borderId="0" applyNumberFormat="0" applyFill="0" applyBorder="0" applyAlignment="0" applyProtection="0"/>
    <xf numFmtId="164" fontId="9" fillId="0" borderId="0" applyFont="0" applyFill="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27" fillId="0" borderId="0" applyNumberFormat="0" applyFill="0" applyBorder="0" applyAlignment="0" applyProtection="0"/>
    <xf numFmtId="9" fontId="9"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59">
    <xf numFmtId="0" fontId="0" fillId="0" borderId="0" xfId="0"/>
    <xf numFmtId="0" fontId="28" fillId="9" borderId="0" xfId="6" applyFont="1" applyFill="1" applyBorder="1"/>
    <xf numFmtId="0" fontId="5" fillId="9" borderId="1" xfId="4" applyFont="1" applyFill="1" applyBorder="1" applyAlignment="1">
      <alignment horizontal="left" vertical="center"/>
    </xf>
    <xf numFmtId="0" fontId="29" fillId="9" borderId="1" xfId="4" applyFont="1" applyFill="1" applyBorder="1" applyAlignment="1">
      <alignment horizontal="left" vertical="center"/>
    </xf>
    <xf numFmtId="0" fontId="6" fillId="9" borderId="0" xfId="4" applyFont="1" applyFill="1" applyBorder="1" applyAlignment="1">
      <alignment horizontal="left" vertical="center" wrapText="1"/>
    </xf>
    <xf numFmtId="0" fontId="0" fillId="9" borderId="0" xfId="0" applyFill="1"/>
    <xf numFmtId="0" fontId="29" fillId="9" borderId="2" xfId="4" applyFont="1" applyFill="1" applyBorder="1" applyAlignment="1">
      <alignment horizontal="left" vertical="center"/>
    </xf>
    <xf numFmtId="0" fontId="5" fillId="9" borderId="2" xfId="4" applyFont="1" applyFill="1" applyBorder="1" applyAlignment="1">
      <alignment horizontal="left" vertical="center"/>
    </xf>
    <xf numFmtId="0" fontId="6" fillId="9" borderId="0" xfId="4" applyFont="1" applyFill="1" applyBorder="1" applyAlignment="1">
      <alignment horizontal="center" vertical="center" readingOrder="1"/>
    </xf>
    <xf numFmtId="0" fontId="6" fillId="9" borderId="0" xfId="4" applyFont="1" applyFill="1" applyBorder="1" applyAlignment="1">
      <alignment horizontal="center" vertical="center"/>
    </xf>
    <xf numFmtId="2" fontId="28" fillId="9" borderId="0" xfId="6" applyNumberFormat="1" applyFont="1" applyFill="1" applyBorder="1"/>
    <xf numFmtId="0" fontId="6" fillId="9" borderId="0" xfId="4" applyFont="1" applyFill="1" applyBorder="1" applyAlignment="1">
      <alignment horizontal="center" vertical="center" wrapText="1"/>
    </xf>
    <xf numFmtId="0" fontId="6" fillId="9" borderId="3" xfId="4" applyFont="1" applyFill="1" applyBorder="1" applyAlignment="1">
      <alignment horizontal="center" vertical="center" wrapText="1"/>
    </xf>
    <xf numFmtId="0" fontId="33" fillId="9" borderId="0" xfId="0" applyFont="1" applyFill="1" applyBorder="1" applyAlignment="1">
      <alignment vertical="center"/>
    </xf>
    <xf numFmtId="0" fontId="33" fillId="9" borderId="0" xfId="0" applyFont="1" applyFill="1" applyAlignment="1">
      <alignment vertical="center"/>
    </xf>
    <xf numFmtId="0" fontId="33" fillId="9" borderId="1" xfId="0" applyFont="1" applyFill="1" applyBorder="1" applyAlignment="1">
      <alignment vertical="center"/>
    </xf>
    <xf numFmtId="0" fontId="6" fillId="9" borderId="14" xfId="4" applyFont="1" applyFill="1" applyBorder="1" applyAlignment="1">
      <alignment horizontal="center" vertical="center" wrapText="1"/>
    </xf>
    <xf numFmtId="0" fontId="6" fillId="9" borderId="3" xfId="4" applyFont="1" applyFill="1" applyBorder="1" applyAlignment="1">
      <alignment horizontal="center" vertical="center" wrapText="1"/>
    </xf>
    <xf numFmtId="0" fontId="5" fillId="9" borderId="0" xfId="4" applyFont="1" applyFill="1" applyBorder="1" applyAlignment="1">
      <alignment horizontal="center" vertical="center"/>
    </xf>
    <xf numFmtId="0" fontId="8" fillId="9" borderId="0" xfId="6" applyFont="1" applyFill="1" applyBorder="1" applyAlignment="1">
      <alignment horizontal="center" vertical="center" wrapText="1"/>
    </xf>
    <xf numFmtId="2" fontId="33" fillId="9" borderId="0" xfId="0" applyNumberFormat="1" applyFont="1" applyFill="1" applyAlignment="1">
      <alignment horizontal="center"/>
    </xf>
    <xf numFmtId="0" fontId="6" fillId="9" borderId="13" xfId="4" applyFont="1" applyFill="1" applyBorder="1" applyAlignment="1">
      <alignment horizontal="center" vertical="center" wrapText="1"/>
    </xf>
    <xf numFmtId="0" fontId="33" fillId="9" borderId="0" xfId="0" applyFont="1" applyFill="1" applyAlignment="1">
      <alignment horizontal="center"/>
    </xf>
    <xf numFmtId="0" fontId="33" fillId="9" borderId="13" xfId="0" applyFont="1" applyFill="1" applyBorder="1" applyAlignment="1">
      <alignment horizontal="center"/>
    </xf>
    <xf numFmtId="0" fontId="7" fillId="9" borderId="0" xfId="4" applyFont="1" applyFill="1" applyAlignment="1">
      <alignment horizontal="center"/>
    </xf>
    <xf numFmtId="0" fontId="7" fillId="9" borderId="0" xfId="4" applyFont="1" applyFill="1" applyAlignment="1">
      <alignment horizontal="center"/>
    </xf>
    <xf numFmtId="0" fontId="8" fillId="9" borderId="0" xfId="0" applyFont="1" applyFill="1" applyAlignment="1">
      <alignment horizontal="center"/>
    </xf>
    <xf numFmtId="166" fontId="7" fillId="9" borderId="0" xfId="2" applyNumberFormat="1" applyFont="1" applyFill="1" applyAlignment="1">
      <alignment horizontal="center" vertical="center"/>
    </xf>
    <xf numFmtId="0" fontId="7" fillId="9" borderId="0" xfId="4" applyFont="1" applyFill="1" applyAlignment="1">
      <alignment horizontal="center" vertical="center"/>
    </xf>
    <xf numFmtId="1" fontId="7" fillId="9" borderId="0" xfId="4" applyNumberFormat="1" applyFont="1" applyFill="1" applyAlignment="1">
      <alignment horizontal="center"/>
    </xf>
    <xf numFmtId="0" fontId="7" fillId="9" borderId="1" xfId="4" applyFont="1" applyFill="1" applyBorder="1" applyAlignment="1">
      <alignment horizontal="center"/>
    </xf>
    <xf numFmtId="166" fontId="7" fillId="9" borderId="1" xfId="2" applyNumberFormat="1" applyFont="1" applyFill="1" applyBorder="1" applyAlignment="1">
      <alignment horizontal="center" vertical="center"/>
    </xf>
    <xf numFmtId="167" fontId="7" fillId="9" borderId="1" xfId="2" applyNumberFormat="1" applyFont="1" applyFill="1" applyBorder="1" applyAlignment="1">
      <alignment horizontal="center" vertical="center"/>
    </xf>
    <xf numFmtId="0" fontId="8" fillId="9" borderId="1" xfId="0" applyFont="1" applyFill="1" applyBorder="1" applyAlignment="1">
      <alignment horizontal="center"/>
    </xf>
    <xf numFmtId="0" fontId="32" fillId="9" borderId="0" xfId="0" applyFont="1" applyFill="1" applyAlignment="1">
      <alignment horizontal="left" vertical="center" wrapText="1"/>
    </xf>
    <xf numFmtId="0" fontId="32" fillId="9" borderId="0" xfId="0" applyFont="1" applyFill="1" applyAlignment="1">
      <alignment horizontal="left" vertical="top" wrapText="1"/>
    </xf>
    <xf numFmtId="0" fontId="32" fillId="9" borderId="0" xfId="0" applyFont="1" applyFill="1" applyAlignment="1">
      <alignment horizontal="left" wrapText="1"/>
    </xf>
    <xf numFmtId="0" fontId="30" fillId="9" borderId="2" xfId="3" applyFont="1" applyFill="1" applyBorder="1" applyAlignment="1">
      <alignment horizontal="left" vertical="top" wrapText="1"/>
    </xf>
    <xf numFmtId="0" fontId="30" fillId="9" borderId="0" xfId="3" applyFont="1" applyFill="1" applyBorder="1" applyAlignment="1">
      <alignment horizontal="left" vertical="top" wrapText="1"/>
    </xf>
    <xf numFmtId="0" fontId="32" fillId="9" borderId="2" xfId="0" applyFont="1" applyFill="1" applyBorder="1" applyAlignment="1">
      <alignment horizontal="left" vertical="top" wrapText="1"/>
    </xf>
    <xf numFmtId="0" fontId="7" fillId="9" borderId="0" xfId="4" applyFont="1" applyFill="1" applyBorder="1" applyAlignment="1">
      <alignment horizontal="center" vertical="top" wrapText="1"/>
    </xf>
    <xf numFmtId="0" fontId="7" fillId="9" borderId="3" xfId="4" applyFont="1" applyFill="1" applyBorder="1" applyAlignment="1">
      <alignment horizontal="center" vertical="top" wrapText="1"/>
    </xf>
    <xf numFmtId="0" fontId="6" fillId="9" borderId="0" xfId="4" applyFont="1" applyFill="1" applyBorder="1" applyAlignment="1">
      <alignment horizontal="center" vertical="top" wrapText="1"/>
    </xf>
    <xf numFmtId="0" fontId="6" fillId="9" borderId="3" xfId="4" applyFont="1" applyFill="1" applyBorder="1" applyAlignment="1">
      <alignment horizontal="center" vertical="top" wrapText="1"/>
    </xf>
    <xf numFmtId="0" fontId="5" fillId="9" borderId="0" xfId="4" applyFont="1" applyFill="1" applyBorder="1" applyAlignment="1">
      <alignment horizontal="left" vertical="center"/>
    </xf>
    <xf numFmtId="0" fontId="6" fillId="9" borderId="1" xfId="4" applyFont="1" applyFill="1" applyBorder="1" applyAlignment="1">
      <alignment horizontal="right" vertical="center"/>
    </xf>
    <xf numFmtId="0" fontId="5" fillId="9" borderId="2" xfId="4" applyFont="1" applyFill="1" applyBorder="1" applyAlignment="1">
      <alignment horizontal="center" vertical="center"/>
    </xf>
    <xf numFmtId="0" fontId="6" fillId="9" borderId="0" xfId="4" applyFont="1" applyFill="1" applyBorder="1" applyAlignment="1">
      <alignment horizontal="center" vertical="center" wrapText="1"/>
    </xf>
    <xf numFmtId="0" fontId="6" fillId="9" borderId="3" xfId="4" applyFont="1" applyFill="1" applyBorder="1" applyAlignment="1">
      <alignment horizontal="center" vertical="center" wrapText="1"/>
    </xf>
    <xf numFmtId="0" fontId="31" fillId="0" borderId="3" xfId="100" applyFont="1" applyBorder="1" applyAlignment="1">
      <alignment horizontal="center" vertical="center"/>
    </xf>
    <xf numFmtId="0" fontId="7" fillId="0" borderId="3" xfId="100" applyFont="1" applyBorder="1" applyAlignment="1">
      <alignment horizontal="center" vertical="center"/>
    </xf>
    <xf numFmtId="0" fontId="7" fillId="9" borderId="3" xfId="4" applyFont="1" applyFill="1" applyBorder="1" applyAlignment="1">
      <alignment horizontal="center" vertical="center" wrapText="1"/>
    </xf>
    <xf numFmtId="0" fontId="8" fillId="9" borderId="3" xfId="6" applyFont="1" applyFill="1" applyBorder="1" applyAlignment="1">
      <alignment horizontal="center" vertical="center" wrapText="1"/>
    </xf>
    <xf numFmtId="0" fontId="33" fillId="9" borderId="13" xfId="0" applyFont="1" applyFill="1" applyBorder="1" applyAlignment="1">
      <alignment horizontal="center"/>
    </xf>
    <xf numFmtId="0" fontId="7" fillId="9" borderId="0" xfId="4" applyFont="1" applyFill="1" applyAlignment="1">
      <alignment horizontal="center"/>
    </xf>
    <xf numFmtId="0" fontId="7" fillId="9" borderId="1" xfId="4" applyFont="1" applyFill="1" applyBorder="1" applyAlignment="1">
      <alignment horizontal="center"/>
    </xf>
    <xf numFmtId="0" fontId="6" fillId="9" borderId="14" xfId="4" applyFont="1" applyFill="1" applyBorder="1" applyAlignment="1">
      <alignment horizontal="center" vertical="center" wrapText="1"/>
    </xf>
    <xf numFmtId="167" fontId="7" fillId="9" borderId="0" xfId="2" applyNumberFormat="1" applyFont="1" applyFill="1" applyAlignment="1">
      <alignment horizontal="center" vertical="center"/>
    </xf>
    <xf numFmtId="2" fontId="7" fillId="9" borderId="0" xfId="2" applyNumberFormat="1" applyFont="1" applyFill="1" applyAlignment="1">
      <alignment horizontal="center" vertical="center"/>
    </xf>
  </cellXfs>
  <cellStyles count="104">
    <cellStyle name="%20 - Vurgu1 2" xfId="7" xr:uid="{00000000-0005-0000-0000-000000000000}"/>
    <cellStyle name="%20 - Vurgu2 2" xfId="8" xr:uid="{00000000-0005-0000-0000-000001000000}"/>
    <cellStyle name="%20 - Vurgu3 2" xfId="9" xr:uid="{00000000-0005-0000-0000-000002000000}"/>
    <cellStyle name="%20 - Vurgu4 2" xfId="10" xr:uid="{00000000-0005-0000-0000-000003000000}"/>
    <cellStyle name="%20 - Vurgu5 2" xfId="11" xr:uid="{00000000-0005-0000-0000-000004000000}"/>
    <cellStyle name="%20 - Vurgu6 2" xfId="12" xr:uid="{00000000-0005-0000-0000-000005000000}"/>
    <cellStyle name="%40 - Vurgu1 2" xfId="13" xr:uid="{00000000-0005-0000-0000-000006000000}"/>
    <cellStyle name="%40 - Vurgu2 2" xfId="14" xr:uid="{00000000-0005-0000-0000-000007000000}"/>
    <cellStyle name="%40 - Vurgu3 2" xfId="15" xr:uid="{00000000-0005-0000-0000-000008000000}"/>
    <cellStyle name="%40 - Vurgu4 2" xfId="16" xr:uid="{00000000-0005-0000-0000-000009000000}"/>
    <cellStyle name="%40 - Vurgu5 2" xfId="17" xr:uid="{00000000-0005-0000-0000-00000A000000}"/>
    <cellStyle name="%40 - Vurgu6 2" xfId="18" xr:uid="{00000000-0005-0000-0000-00000B000000}"/>
    <cellStyle name="%60 - Vurgu1 2" xfId="19" xr:uid="{00000000-0005-0000-0000-00000C000000}"/>
    <cellStyle name="%60 - Vurgu2 2" xfId="20" xr:uid="{00000000-0005-0000-0000-00000D000000}"/>
    <cellStyle name="%60 - Vurgu3 2" xfId="21" xr:uid="{00000000-0005-0000-0000-00000E000000}"/>
    <cellStyle name="%60 - Vurgu4 2" xfId="22" xr:uid="{00000000-0005-0000-0000-00000F000000}"/>
    <cellStyle name="%60 - Vurgu5 2" xfId="23" xr:uid="{00000000-0005-0000-0000-000010000000}"/>
    <cellStyle name="%60 - Vurgu6 2" xfId="24" xr:uid="{00000000-0005-0000-0000-000011000000}"/>
    <cellStyle name="20% - Accent1" xfId="25" xr:uid="{00000000-0005-0000-0000-000012000000}"/>
    <cellStyle name="20% - Accent2" xfId="26" xr:uid="{00000000-0005-0000-0000-000013000000}"/>
    <cellStyle name="20% - Accent3" xfId="27" xr:uid="{00000000-0005-0000-0000-000014000000}"/>
    <cellStyle name="20% - Accent4" xfId="28" xr:uid="{00000000-0005-0000-0000-000015000000}"/>
    <cellStyle name="20% - Accent5" xfId="29" xr:uid="{00000000-0005-0000-0000-000016000000}"/>
    <cellStyle name="20% - Accent6" xfId="30" xr:uid="{00000000-0005-0000-0000-000017000000}"/>
    <cellStyle name="40% - Accent1" xfId="31" xr:uid="{00000000-0005-0000-0000-000018000000}"/>
    <cellStyle name="40% - Accent2" xfId="32" xr:uid="{00000000-0005-0000-0000-000019000000}"/>
    <cellStyle name="40% - Accent3" xfId="33" xr:uid="{00000000-0005-0000-0000-00001A000000}"/>
    <cellStyle name="40% - Accent4" xfId="34" xr:uid="{00000000-0005-0000-0000-00001B000000}"/>
    <cellStyle name="40% - Accent5" xfId="35" xr:uid="{00000000-0005-0000-0000-00001C000000}"/>
    <cellStyle name="40% - Accent6" xfId="36" xr:uid="{00000000-0005-0000-0000-00001D000000}"/>
    <cellStyle name="60% - Accent1" xfId="37" xr:uid="{00000000-0005-0000-0000-00001E000000}"/>
    <cellStyle name="60% - Accent2" xfId="38" xr:uid="{00000000-0005-0000-0000-00001F000000}"/>
    <cellStyle name="60% - Accent3" xfId="39" xr:uid="{00000000-0005-0000-0000-000020000000}"/>
    <cellStyle name="60% - Accent4" xfId="40" xr:uid="{00000000-0005-0000-0000-000021000000}"/>
    <cellStyle name="60% - Accent5" xfId="41" xr:uid="{00000000-0005-0000-0000-000022000000}"/>
    <cellStyle name="60% - Accent6" xfId="42" xr:uid="{00000000-0005-0000-0000-000023000000}"/>
    <cellStyle name="Accent1" xfId="43" xr:uid="{00000000-0005-0000-0000-000024000000}"/>
    <cellStyle name="Accent2" xfId="44" xr:uid="{00000000-0005-0000-0000-000025000000}"/>
    <cellStyle name="Accent3" xfId="45" xr:uid="{00000000-0005-0000-0000-000026000000}"/>
    <cellStyle name="Accent4" xfId="46" xr:uid="{00000000-0005-0000-0000-000027000000}"/>
    <cellStyle name="Accent5" xfId="47" xr:uid="{00000000-0005-0000-0000-000028000000}"/>
    <cellStyle name="Accent6" xfId="48" xr:uid="{00000000-0005-0000-0000-000029000000}"/>
    <cellStyle name="Açıklama Metni 2" xfId="49" xr:uid="{00000000-0005-0000-0000-00002A000000}"/>
    <cellStyle name="Ana Başlık 2" xfId="50" xr:uid="{00000000-0005-0000-0000-00002B000000}"/>
    <cellStyle name="Bad" xfId="51" xr:uid="{00000000-0005-0000-0000-00002C000000}"/>
    <cellStyle name="Bağlı Hücre 2" xfId="52" xr:uid="{00000000-0005-0000-0000-00002D000000}"/>
    <cellStyle name="Başlık 1 2" xfId="53" xr:uid="{00000000-0005-0000-0000-00002E000000}"/>
    <cellStyle name="Başlık 2 2" xfId="54" xr:uid="{00000000-0005-0000-0000-00002F000000}"/>
    <cellStyle name="Başlık 3 2" xfId="55" xr:uid="{00000000-0005-0000-0000-000030000000}"/>
    <cellStyle name="Başlık 4 2" xfId="56" xr:uid="{00000000-0005-0000-0000-000031000000}"/>
    <cellStyle name="Binlik Ayracı 2" xfId="57" xr:uid="{00000000-0005-0000-0000-000032000000}"/>
    <cellStyle name="Calculation" xfId="58" xr:uid="{00000000-0005-0000-0000-000033000000}"/>
    <cellStyle name="Check Cell" xfId="59" xr:uid="{00000000-0005-0000-0000-000034000000}"/>
    <cellStyle name="Çıkış 2" xfId="60" xr:uid="{00000000-0005-0000-0000-000035000000}"/>
    <cellStyle name="Excel Built-in Normal" xfId="61" xr:uid="{00000000-0005-0000-0000-000036000000}"/>
    <cellStyle name="Explanatory Text" xfId="62" xr:uid="{00000000-0005-0000-0000-000037000000}"/>
    <cellStyle name="Giriş 2" xfId="63" xr:uid="{00000000-0005-0000-0000-000038000000}"/>
    <cellStyle name="Good" xfId="64" xr:uid="{00000000-0005-0000-0000-000039000000}"/>
    <cellStyle name="Heading 1" xfId="65" xr:uid="{00000000-0005-0000-0000-00003A000000}"/>
    <cellStyle name="Heading 2" xfId="66" xr:uid="{00000000-0005-0000-0000-00003B000000}"/>
    <cellStyle name="Heading 3" xfId="67" xr:uid="{00000000-0005-0000-0000-00003C000000}"/>
    <cellStyle name="Heading 4" xfId="68" xr:uid="{00000000-0005-0000-0000-00003D000000}"/>
    <cellStyle name="Hesaplama 2" xfId="69" xr:uid="{00000000-0005-0000-0000-00003E000000}"/>
    <cellStyle name="Input" xfId="70" xr:uid="{00000000-0005-0000-0000-00003F000000}"/>
    <cellStyle name="İşaretli Hücre 2" xfId="71" xr:uid="{00000000-0005-0000-0000-000040000000}"/>
    <cellStyle name="İyi 2" xfId="72" xr:uid="{00000000-0005-0000-0000-000041000000}"/>
    <cellStyle name="Kötü 2" xfId="73" xr:uid="{00000000-0005-0000-0000-000042000000}"/>
    <cellStyle name="Linked Cell" xfId="74" xr:uid="{00000000-0005-0000-0000-000043000000}"/>
    <cellStyle name="Neutral" xfId="75" xr:uid="{00000000-0005-0000-0000-000044000000}"/>
    <cellStyle name="Normal" xfId="0" builtinId="0"/>
    <cellStyle name="Normal 10" xfId="97" xr:uid="{00000000-0005-0000-0000-000046000000}"/>
    <cellStyle name="Normal 2" xfId="2" xr:uid="{00000000-0005-0000-0000-000047000000}"/>
    <cellStyle name="Normal 2 2" xfId="76" xr:uid="{00000000-0005-0000-0000-000048000000}"/>
    <cellStyle name="Normal 2 3" xfId="77" xr:uid="{00000000-0005-0000-0000-000049000000}"/>
    <cellStyle name="Normal 3" xfId="1" xr:uid="{00000000-0005-0000-0000-00004A000000}"/>
    <cellStyle name="Normal 3 2" xfId="78" xr:uid="{00000000-0005-0000-0000-00004B000000}"/>
    <cellStyle name="Normal 3 3" xfId="103" xr:uid="{00000000-0005-0000-0000-00004C000000}"/>
    <cellStyle name="Normal 3 4" xfId="6" xr:uid="{00000000-0005-0000-0000-00004D000000}"/>
    <cellStyle name="Normal 4" xfId="98" xr:uid="{00000000-0005-0000-0000-00004E000000}"/>
    <cellStyle name="Normal 5" xfId="99" xr:uid="{00000000-0005-0000-0000-00004F000000}"/>
    <cellStyle name="Normal 6" xfId="5" xr:uid="{00000000-0005-0000-0000-000050000000}"/>
    <cellStyle name="Normal 7" xfId="100" xr:uid="{00000000-0005-0000-0000-000051000000}"/>
    <cellStyle name="Normal 8" xfId="101" xr:uid="{00000000-0005-0000-0000-000052000000}"/>
    <cellStyle name="Normal 9" xfId="102" xr:uid="{00000000-0005-0000-0000-000053000000}"/>
    <cellStyle name="Normal_2004 Yıl sonu değerlendirme Raporu 17-33" xfId="3" xr:uid="{00000000-0005-0000-0000-000054000000}"/>
    <cellStyle name="Normal_orhanuğurrıdvan.xl" xfId="4" xr:uid="{00000000-0005-0000-0000-000055000000}"/>
    <cellStyle name="Not 2" xfId="79" xr:uid="{00000000-0005-0000-0000-000056000000}"/>
    <cellStyle name="Note" xfId="80" xr:uid="{00000000-0005-0000-0000-000057000000}"/>
    <cellStyle name="Nötr 2" xfId="81" xr:uid="{00000000-0005-0000-0000-000058000000}"/>
    <cellStyle name="Output" xfId="82" xr:uid="{00000000-0005-0000-0000-000059000000}"/>
    <cellStyle name="Title" xfId="83" xr:uid="{00000000-0005-0000-0000-00005A000000}"/>
    <cellStyle name="Toplam 2" xfId="84" xr:uid="{00000000-0005-0000-0000-00005B000000}"/>
    <cellStyle name="Total" xfId="85" xr:uid="{00000000-0005-0000-0000-00005C000000}"/>
    <cellStyle name="Uyarı Metni 2" xfId="86" xr:uid="{00000000-0005-0000-0000-00005D000000}"/>
    <cellStyle name="Virgül 2" xfId="87" xr:uid="{00000000-0005-0000-0000-00005E000000}"/>
    <cellStyle name="Virgül 3" xfId="96" xr:uid="{00000000-0005-0000-0000-00005F000000}"/>
    <cellStyle name="Vurgu1 2" xfId="88" xr:uid="{00000000-0005-0000-0000-000060000000}"/>
    <cellStyle name="Vurgu2 2" xfId="89" xr:uid="{00000000-0005-0000-0000-000061000000}"/>
    <cellStyle name="Vurgu3 2" xfId="90" xr:uid="{00000000-0005-0000-0000-000062000000}"/>
    <cellStyle name="Vurgu4 2" xfId="91" xr:uid="{00000000-0005-0000-0000-000063000000}"/>
    <cellStyle name="Vurgu5 2" xfId="92" xr:uid="{00000000-0005-0000-0000-000064000000}"/>
    <cellStyle name="Vurgu6 2" xfId="93" xr:uid="{00000000-0005-0000-0000-000065000000}"/>
    <cellStyle name="Warning Text" xfId="94" xr:uid="{00000000-0005-0000-0000-000066000000}"/>
    <cellStyle name="Yüzde 2" xfId="95"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4"/>
  <sheetViews>
    <sheetView tabSelected="1" topLeftCell="A4" workbookViewId="0">
      <selection activeCell="Y28" sqref="Y28"/>
    </sheetView>
  </sheetViews>
  <sheetFormatPr defaultRowHeight="15" x14ac:dyDescent="0.25"/>
  <cols>
    <col min="1" max="1" width="13" style="5" customWidth="1"/>
    <col min="2" max="2" width="10" style="5" customWidth="1"/>
    <col min="3" max="4" width="8" style="5" customWidth="1"/>
    <col min="5" max="5" width="10" style="5" customWidth="1"/>
    <col min="6" max="8" width="7.85546875" style="5" customWidth="1"/>
    <col min="9" max="9" width="3.140625" style="5" customWidth="1"/>
    <col min="10" max="10" width="7.7109375" style="5" customWidth="1"/>
    <col min="11" max="11" width="11.140625" style="5" customWidth="1"/>
    <col min="12" max="12" width="8.5703125" style="5" customWidth="1"/>
    <col min="13" max="13" width="10.42578125" style="5" customWidth="1"/>
    <col min="14" max="14" width="2" style="5" customWidth="1"/>
    <col min="15" max="15" width="10.28515625" style="5" customWidth="1"/>
    <col min="16" max="17" width="8" style="5" customWidth="1"/>
    <col min="18" max="18" width="3.42578125" style="5" customWidth="1"/>
    <col min="19" max="19" width="11.140625" style="5" customWidth="1"/>
    <col min="20" max="20" width="9.42578125" style="5" customWidth="1"/>
    <col min="21" max="21" width="11.85546875" style="5" customWidth="1"/>
    <col min="22" max="16384" width="9.140625" style="5"/>
  </cols>
  <sheetData>
    <row r="1" spans="1:22" ht="15.75" customHeight="1" x14ac:dyDescent="0.25">
      <c r="A1" s="44" t="s">
        <v>60</v>
      </c>
      <c r="B1" s="44"/>
      <c r="C1" s="44"/>
      <c r="D1" s="44"/>
      <c r="E1" s="44"/>
      <c r="F1" s="44"/>
      <c r="G1" s="44"/>
      <c r="H1" s="44"/>
      <c r="I1" s="44"/>
      <c r="J1" s="44"/>
      <c r="K1" s="44"/>
      <c r="L1" s="44"/>
      <c r="M1" s="44"/>
      <c r="N1" s="44"/>
      <c r="O1" s="44"/>
      <c r="P1" s="44"/>
      <c r="Q1" s="44"/>
      <c r="R1" s="44"/>
      <c r="S1" s="44"/>
      <c r="T1" s="44"/>
      <c r="U1" s="44"/>
    </row>
    <row r="2" spans="1:22" ht="14.25" customHeight="1" thickBot="1" x14ac:dyDescent="0.3">
      <c r="A2" s="3" t="s">
        <v>61</v>
      </c>
      <c r="B2" s="2"/>
      <c r="C2" s="2"/>
      <c r="D2" s="2"/>
      <c r="E2" s="2"/>
      <c r="F2" s="2"/>
      <c r="G2" s="2"/>
      <c r="H2" s="2"/>
      <c r="I2" s="2"/>
      <c r="J2" s="2"/>
      <c r="K2" s="2"/>
      <c r="L2" s="2"/>
      <c r="M2" s="2"/>
      <c r="N2" s="2"/>
      <c r="O2" s="2"/>
      <c r="P2" s="2"/>
      <c r="Q2" s="2"/>
      <c r="R2" s="2"/>
      <c r="S2" s="2"/>
      <c r="T2" s="45" t="s">
        <v>0</v>
      </c>
      <c r="U2" s="45"/>
    </row>
    <row r="3" spans="1:22" ht="15.75" customHeight="1" x14ac:dyDescent="0.25">
      <c r="A3" s="6"/>
      <c r="B3" s="46" t="s">
        <v>42</v>
      </c>
      <c r="C3" s="46"/>
      <c r="D3" s="46"/>
      <c r="E3" s="46"/>
      <c r="F3" s="46"/>
      <c r="G3" s="46"/>
      <c r="H3" s="46"/>
      <c r="I3" s="7"/>
      <c r="J3" s="46" t="s">
        <v>37</v>
      </c>
      <c r="K3" s="46"/>
      <c r="L3" s="46"/>
      <c r="M3" s="46"/>
      <c r="N3" s="7"/>
      <c r="O3" s="46" t="s">
        <v>38</v>
      </c>
      <c r="P3" s="46"/>
      <c r="Q3" s="46"/>
      <c r="R3" s="18"/>
      <c r="V3" s="9"/>
    </row>
    <row r="4" spans="1:22" ht="13.5" customHeight="1" x14ac:dyDescent="0.25">
      <c r="A4" s="47" t="s">
        <v>48</v>
      </c>
      <c r="B4" s="49" t="s">
        <v>39</v>
      </c>
      <c r="C4" s="49"/>
      <c r="D4" s="49"/>
      <c r="E4" s="49"/>
      <c r="F4" s="49"/>
      <c r="G4" s="49"/>
      <c r="H4" s="49"/>
      <c r="I4" s="11"/>
      <c r="J4" s="50" t="s">
        <v>40</v>
      </c>
      <c r="K4" s="49"/>
      <c r="L4" s="49"/>
      <c r="M4" s="49"/>
      <c r="N4" s="11"/>
      <c r="O4" s="51" t="s">
        <v>41</v>
      </c>
      <c r="P4" s="52"/>
      <c r="Q4" s="52"/>
      <c r="R4" s="19"/>
      <c r="S4" s="40" t="s">
        <v>49</v>
      </c>
      <c r="T4" s="40" t="s">
        <v>43</v>
      </c>
      <c r="U4" s="42" t="s">
        <v>44</v>
      </c>
      <c r="V4" s="8"/>
    </row>
    <row r="5" spans="1:22" ht="39" customHeight="1" x14ac:dyDescent="0.25">
      <c r="A5" s="48"/>
      <c r="B5" s="12" t="s">
        <v>1</v>
      </c>
      <c r="C5" s="12" t="s">
        <v>2</v>
      </c>
      <c r="D5" s="56" t="s">
        <v>62</v>
      </c>
      <c r="E5" s="56"/>
      <c r="F5" s="12" t="s">
        <v>3</v>
      </c>
      <c r="G5" s="12" t="s">
        <v>4</v>
      </c>
      <c r="H5" s="12" t="s">
        <v>5</v>
      </c>
      <c r="I5" s="12"/>
      <c r="J5" s="21" t="s">
        <v>6</v>
      </c>
      <c r="K5" s="12" t="s">
        <v>7</v>
      </c>
      <c r="L5" s="16" t="s">
        <v>8</v>
      </c>
      <c r="M5" s="12" t="s">
        <v>50</v>
      </c>
      <c r="N5" s="12"/>
      <c r="O5" s="12" t="s">
        <v>9</v>
      </c>
      <c r="P5" s="12" t="s">
        <v>10</v>
      </c>
      <c r="Q5" s="12" t="s">
        <v>5</v>
      </c>
      <c r="R5" s="17"/>
      <c r="S5" s="41"/>
      <c r="T5" s="41"/>
      <c r="U5" s="43"/>
    </row>
    <row r="6" spans="1:22" x14ac:dyDescent="0.25">
      <c r="A6" s="4" t="s">
        <v>36</v>
      </c>
      <c r="B6" s="22">
        <f>SUM(B7:B37)</f>
        <v>3412.41</v>
      </c>
      <c r="C6" s="22">
        <f>SUM(C7:C37)</f>
        <v>350.73399999999998</v>
      </c>
      <c r="D6" s="53">
        <v>814.49199999999996</v>
      </c>
      <c r="E6" s="53"/>
      <c r="F6" s="22">
        <f>SUM(F7:F37)</f>
        <v>560.04399999999998</v>
      </c>
      <c r="G6" s="22">
        <f>SUM(G7:G37)</f>
        <v>166.476</v>
      </c>
      <c r="H6" s="22">
        <f>SUM(H7:H37)</f>
        <v>9260.2569999999996</v>
      </c>
      <c r="I6" s="22"/>
      <c r="J6" s="23" t="s">
        <v>63</v>
      </c>
      <c r="K6" s="22">
        <f>SUM(K7:K37)</f>
        <v>135.71300000000002</v>
      </c>
      <c r="L6" s="22" t="s">
        <v>63</v>
      </c>
      <c r="M6" s="22">
        <f>SUM(M7:M37)</f>
        <v>82.72699999999999</v>
      </c>
      <c r="N6" s="22"/>
      <c r="O6" s="22">
        <f>SUM(O7:O37)</f>
        <v>3263.4359999999997</v>
      </c>
      <c r="P6" s="22">
        <f>SUM(P7:P37)</f>
        <v>556.89200000000005</v>
      </c>
      <c r="Q6" s="22">
        <f>SUM(Q7:Q37)</f>
        <v>1573.7349999999997</v>
      </c>
      <c r="R6" s="22"/>
      <c r="S6" s="22">
        <f>SUM(S7:S37)</f>
        <v>6571.8770000000004</v>
      </c>
      <c r="T6" s="22">
        <f>SUM(T7:T37)</f>
        <v>735.36700000000008</v>
      </c>
      <c r="U6" s="20">
        <v>27484.59</v>
      </c>
    </row>
    <row r="7" spans="1:22" x14ac:dyDescent="0.25">
      <c r="A7" s="13" t="s">
        <v>11</v>
      </c>
      <c r="B7" s="24">
        <v>5.2370000000000001</v>
      </c>
      <c r="C7" s="24">
        <v>0.05</v>
      </c>
      <c r="D7" s="54">
        <v>1.3</v>
      </c>
      <c r="E7" s="54"/>
      <c r="F7" s="24">
        <v>0.2</v>
      </c>
      <c r="G7" s="24" t="s">
        <v>63</v>
      </c>
      <c r="H7" s="24">
        <v>5.76</v>
      </c>
      <c r="I7" s="24"/>
      <c r="J7" s="26" t="s">
        <v>63</v>
      </c>
      <c r="K7" s="24" t="s">
        <v>63</v>
      </c>
      <c r="L7" s="27" t="s">
        <v>63</v>
      </c>
      <c r="M7" s="24" t="s">
        <v>63</v>
      </c>
      <c r="N7" s="24"/>
      <c r="O7" s="24">
        <v>5.7059999999999995</v>
      </c>
      <c r="P7" s="24">
        <v>0.11</v>
      </c>
      <c r="Q7" s="24" t="s">
        <v>63</v>
      </c>
      <c r="R7" s="24"/>
      <c r="S7" s="24">
        <v>100.063</v>
      </c>
      <c r="T7" s="24">
        <v>4.6879999999999997</v>
      </c>
      <c r="U7" s="26">
        <v>123.114</v>
      </c>
    </row>
    <row r="8" spans="1:22" x14ac:dyDescent="0.25">
      <c r="A8" s="13" t="s">
        <v>12</v>
      </c>
      <c r="B8" s="24">
        <v>57.160000000000011</v>
      </c>
      <c r="C8" s="25">
        <v>0.05</v>
      </c>
      <c r="D8" s="54">
        <v>31.849999999999998</v>
      </c>
      <c r="E8" s="54"/>
      <c r="F8" s="24">
        <v>0.66</v>
      </c>
      <c r="G8" s="24">
        <v>5.6</v>
      </c>
      <c r="H8" s="24">
        <v>105.94</v>
      </c>
      <c r="I8" s="24"/>
      <c r="J8" s="26" t="s">
        <v>63</v>
      </c>
      <c r="K8" s="27">
        <v>1.25</v>
      </c>
      <c r="L8" s="27" t="s">
        <v>63</v>
      </c>
      <c r="M8" s="24" t="s">
        <v>63</v>
      </c>
      <c r="N8" s="24"/>
      <c r="O8" s="24">
        <v>38.369999999999997</v>
      </c>
      <c r="P8" s="27" t="s">
        <v>63</v>
      </c>
      <c r="Q8" s="24">
        <v>0.13</v>
      </c>
      <c r="R8" s="24"/>
      <c r="S8" s="24" t="s">
        <v>63</v>
      </c>
      <c r="T8" s="24">
        <v>6.0999999999999979</v>
      </c>
      <c r="U8" s="26">
        <v>247.10999999999999</v>
      </c>
    </row>
    <row r="9" spans="1:22" x14ac:dyDescent="0.25">
      <c r="A9" s="13" t="s">
        <v>13</v>
      </c>
      <c r="B9" s="24">
        <v>2.6459999999999999</v>
      </c>
      <c r="C9" s="24" t="s">
        <v>63</v>
      </c>
      <c r="D9" s="54">
        <v>1.1639999999999999</v>
      </c>
      <c r="E9" s="54"/>
      <c r="F9" s="27" t="s">
        <v>63</v>
      </c>
      <c r="G9" s="24">
        <v>1.0999999999999999E-2</v>
      </c>
      <c r="H9" s="24">
        <v>74.126999999999995</v>
      </c>
      <c r="I9" s="24"/>
      <c r="J9" s="26" t="s">
        <v>63</v>
      </c>
      <c r="K9" s="27" t="s">
        <v>63</v>
      </c>
      <c r="L9" s="27" t="s">
        <v>63</v>
      </c>
      <c r="M9" s="24" t="s">
        <v>63</v>
      </c>
      <c r="N9" s="24"/>
      <c r="O9" s="24" t="s">
        <v>63</v>
      </c>
      <c r="P9" s="27" t="s">
        <v>63</v>
      </c>
      <c r="Q9" s="24">
        <v>41.78</v>
      </c>
      <c r="R9" s="24"/>
      <c r="S9" s="24">
        <v>109.15700000000002</v>
      </c>
      <c r="T9" s="24">
        <v>24.292000000000005</v>
      </c>
      <c r="U9" s="26">
        <v>253.17700000000002</v>
      </c>
    </row>
    <row r="10" spans="1:22" x14ac:dyDescent="0.25">
      <c r="A10" s="13" t="s">
        <v>14</v>
      </c>
      <c r="B10" s="24">
        <v>1.0720000000000001</v>
      </c>
      <c r="C10" s="24">
        <v>15.972999999999999</v>
      </c>
      <c r="D10" s="54">
        <v>2.4829999999999997</v>
      </c>
      <c r="E10" s="54"/>
      <c r="F10" s="24">
        <v>0.04</v>
      </c>
      <c r="G10" s="24">
        <v>0.57000000000000006</v>
      </c>
      <c r="H10" s="24">
        <v>107.7</v>
      </c>
      <c r="I10" s="24"/>
      <c r="J10" s="26" t="s">
        <v>63</v>
      </c>
      <c r="K10" s="24">
        <v>6.1239999999999997</v>
      </c>
      <c r="L10" s="27" t="s">
        <v>63</v>
      </c>
      <c r="M10" s="24">
        <v>25.2</v>
      </c>
      <c r="N10" s="24"/>
      <c r="O10" s="24">
        <v>114.748</v>
      </c>
      <c r="P10" s="27">
        <v>3.0750000000000002</v>
      </c>
      <c r="Q10" s="24">
        <v>0.45900000000000002</v>
      </c>
      <c r="R10" s="24"/>
      <c r="S10" s="24">
        <v>30.37</v>
      </c>
      <c r="T10" s="24">
        <v>25.459000000000003</v>
      </c>
      <c r="U10" s="26">
        <v>333.10000000000008</v>
      </c>
    </row>
    <row r="11" spans="1:22" x14ac:dyDescent="0.25">
      <c r="A11" s="13" t="s">
        <v>15</v>
      </c>
      <c r="B11" s="24">
        <v>2.1749999999999998</v>
      </c>
      <c r="C11" s="27" t="s">
        <v>63</v>
      </c>
      <c r="D11" s="54" t="s">
        <v>63</v>
      </c>
      <c r="E11" s="54"/>
      <c r="F11" s="24" t="s">
        <v>63</v>
      </c>
      <c r="G11" s="24" t="s">
        <v>63</v>
      </c>
      <c r="H11" s="24" t="s">
        <v>63</v>
      </c>
      <c r="I11" s="24"/>
      <c r="J11" s="26" t="s">
        <v>63</v>
      </c>
      <c r="K11" s="27" t="s">
        <v>63</v>
      </c>
      <c r="L11" s="27" t="s">
        <v>63</v>
      </c>
      <c r="M11" s="27" t="s">
        <v>63</v>
      </c>
      <c r="N11" s="27"/>
      <c r="O11" s="27" t="s">
        <v>63</v>
      </c>
      <c r="P11" s="27" t="s">
        <v>63</v>
      </c>
      <c r="Q11" s="27" t="s">
        <v>63</v>
      </c>
      <c r="R11" s="24"/>
      <c r="S11" s="24">
        <v>0.19400000000000001</v>
      </c>
      <c r="T11" s="58">
        <v>0.26700000000000002</v>
      </c>
      <c r="U11" s="26">
        <v>2.6359999999999997</v>
      </c>
    </row>
    <row r="12" spans="1:22" x14ac:dyDescent="0.25">
      <c r="A12" s="13" t="s">
        <v>16</v>
      </c>
      <c r="B12" s="24">
        <v>41.251999999999995</v>
      </c>
      <c r="C12" s="27" t="s">
        <v>63</v>
      </c>
      <c r="D12" s="54">
        <v>1.0329999999999999</v>
      </c>
      <c r="E12" s="54"/>
      <c r="F12" s="24">
        <v>2.8000000000000001E-2</v>
      </c>
      <c r="G12" s="24" t="s">
        <v>63</v>
      </c>
      <c r="H12" s="24">
        <v>102.71299999999999</v>
      </c>
      <c r="I12" s="24"/>
      <c r="J12" s="26" t="s">
        <v>63</v>
      </c>
      <c r="K12" s="27" t="s">
        <v>63</v>
      </c>
      <c r="L12" s="27" t="s">
        <v>63</v>
      </c>
      <c r="M12" s="24" t="s">
        <v>63</v>
      </c>
      <c r="N12" s="24"/>
      <c r="O12" s="24">
        <v>3.581</v>
      </c>
      <c r="P12" s="27">
        <v>21.911999999999999</v>
      </c>
      <c r="Q12" s="24">
        <v>0.502</v>
      </c>
      <c r="R12" s="24"/>
      <c r="S12" s="24">
        <v>85.601000000000013</v>
      </c>
      <c r="T12" s="24">
        <v>4.2389999999999981</v>
      </c>
      <c r="U12" s="26">
        <v>260.86099999999999</v>
      </c>
    </row>
    <row r="13" spans="1:22" x14ac:dyDescent="0.25">
      <c r="A13" s="13" t="s">
        <v>17</v>
      </c>
      <c r="B13" s="24">
        <v>2.9929999999999999</v>
      </c>
      <c r="C13" s="57">
        <v>0.35399999999999998</v>
      </c>
      <c r="D13" s="54">
        <v>0.13700000000000001</v>
      </c>
      <c r="E13" s="54"/>
      <c r="F13" s="24" t="s">
        <v>63</v>
      </c>
      <c r="G13" s="24" t="s">
        <v>63</v>
      </c>
      <c r="H13" s="24">
        <v>290.596</v>
      </c>
      <c r="I13" s="24"/>
      <c r="J13" s="26" t="s">
        <v>63</v>
      </c>
      <c r="K13" s="27" t="s">
        <v>63</v>
      </c>
      <c r="L13" s="27" t="s">
        <v>63</v>
      </c>
      <c r="M13" s="57">
        <v>5.2999999999999999E-2</v>
      </c>
      <c r="N13" s="27"/>
      <c r="O13" s="24">
        <v>3.359</v>
      </c>
      <c r="P13" s="27" t="s">
        <v>63</v>
      </c>
      <c r="Q13" s="27" t="s">
        <v>63</v>
      </c>
      <c r="R13" s="27"/>
      <c r="S13" s="24">
        <v>3317.3870000000002</v>
      </c>
      <c r="T13" s="24">
        <v>3.4619999999999997</v>
      </c>
      <c r="U13" s="26">
        <v>3618.35</v>
      </c>
    </row>
    <row r="14" spans="1:22" x14ac:dyDescent="0.25">
      <c r="A14" s="13" t="s">
        <v>18</v>
      </c>
      <c r="B14" s="28">
        <v>0.68</v>
      </c>
      <c r="C14" s="27">
        <v>28.016999999999999</v>
      </c>
      <c r="D14" s="54">
        <v>4.2329999999999997</v>
      </c>
      <c r="E14" s="54"/>
      <c r="F14" s="28">
        <v>1.1839999999999999</v>
      </c>
      <c r="G14" s="24">
        <v>1.776</v>
      </c>
      <c r="H14" s="24">
        <v>166.48</v>
      </c>
      <c r="I14" s="24"/>
      <c r="J14" s="26" t="s">
        <v>63</v>
      </c>
      <c r="K14" s="27">
        <v>22.981000000000002</v>
      </c>
      <c r="L14" s="27" t="s">
        <v>63</v>
      </c>
      <c r="M14" s="57">
        <v>0.214</v>
      </c>
      <c r="N14" s="27"/>
      <c r="O14" s="24">
        <v>305.66199999999998</v>
      </c>
      <c r="P14" s="58">
        <v>0.16700000000000001</v>
      </c>
      <c r="Q14" s="27">
        <v>2.31</v>
      </c>
      <c r="R14" s="27"/>
      <c r="S14" s="28">
        <v>198.55100000000002</v>
      </c>
      <c r="T14" s="28">
        <v>1.75</v>
      </c>
      <c r="U14" s="26">
        <v>734.005</v>
      </c>
    </row>
    <row r="15" spans="1:22" x14ac:dyDescent="0.25">
      <c r="A15" s="14" t="s">
        <v>47</v>
      </c>
      <c r="B15" s="28">
        <v>12.110999999999999</v>
      </c>
      <c r="C15" s="27">
        <v>3.0680000000000001</v>
      </c>
      <c r="D15" s="54">
        <v>8.6890000000000001</v>
      </c>
      <c r="E15" s="54"/>
      <c r="F15" s="28">
        <v>111.13300000000001</v>
      </c>
      <c r="G15" s="24">
        <v>0.11</v>
      </c>
      <c r="H15" s="24">
        <v>130.136</v>
      </c>
      <c r="I15" s="24"/>
      <c r="J15" s="26" t="s">
        <v>63</v>
      </c>
      <c r="K15" s="57">
        <v>4.2000000000000003E-2</v>
      </c>
      <c r="L15" s="27" t="s">
        <v>63</v>
      </c>
      <c r="M15" s="57">
        <v>4.1000000000000002E-2</v>
      </c>
      <c r="N15" s="27"/>
      <c r="O15" s="24">
        <v>3.9409999999999994</v>
      </c>
      <c r="P15" s="27">
        <v>205.727</v>
      </c>
      <c r="Q15" s="27">
        <v>2.9649999999999999</v>
      </c>
      <c r="R15" s="27"/>
      <c r="S15" s="28">
        <v>1.254</v>
      </c>
      <c r="T15" s="28">
        <v>1.5090000000000001</v>
      </c>
      <c r="U15" s="26">
        <v>480.72600000000011</v>
      </c>
    </row>
    <row r="16" spans="1:22" x14ac:dyDescent="0.25">
      <c r="A16" s="13" t="s">
        <v>19</v>
      </c>
      <c r="B16" s="24">
        <v>902.28599999999994</v>
      </c>
      <c r="C16" s="24" t="s">
        <v>63</v>
      </c>
      <c r="D16" s="54">
        <v>342.98900000000003</v>
      </c>
      <c r="E16" s="54"/>
      <c r="F16" s="24">
        <v>0.16700000000000001</v>
      </c>
      <c r="G16" s="24">
        <v>0.12000000000000001</v>
      </c>
      <c r="H16" s="24">
        <v>178.178</v>
      </c>
      <c r="I16" s="24"/>
      <c r="J16" s="26" t="s">
        <v>63</v>
      </c>
      <c r="K16" s="27" t="s">
        <v>63</v>
      </c>
      <c r="L16" s="27" t="s">
        <v>63</v>
      </c>
      <c r="M16" s="57">
        <v>0.2</v>
      </c>
      <c r="N16" s="27"/>
      <c r="O16" s="28">
        <v>94.923000000000002</v>
      </c>
      <c r="P16" s="58">
        <v>0.39200000000000002</v>
      </c>
      <c r="Q16" s="27">
        <v>57</v>
      </c>
      <c r="R16" s="27"/>
      <c r="S16" s="24">
        <v>586.52</v>
      </c>
      <c r="T16" s="24">
        <v>488.81</v>
      </c>
      <c r="U16" s="26">
        <v>2652</v>
      </c>
    </row>
    <row r="17" spans="1:21" x14ac:dyDescent="0.25">
      <c r="A17" s="13" t="s">
        <v>20</v>
      </c>
      <c r="B17" s="24">
        <v>31.547000000000001</v>
      </c>
      <c r="C17" s="24">
        <v>1.5960000000000001</v>
      </c>
      <c r="D17" s="54">
        <v>57.718000000000004</v>
      </c>
      <c r="E17" s="54"/>
      <c r="F17" s="24">
        <v>89.914000000000001</v>
      </c>
      <c r="G17" s="24" t="s">
        <v>63</v>
      </c>
      <c r="H17" s="24">
        <v>65.769000000000005</v>
      </c>
      <c r="I17" s="24"/>
      <c r="J17" s="26" t="s">
        <v>63</v>
      </c>
      <c r="K17" s="27" t="s">
        <v>63</v>
      </c>
      <c r="L17" s="27" t="s">
        <v>63</v>
      </c>
      <c r="M17" s="57" t="s">
        <v>63</v>
      </c>
      <c r="N17" s="27"/>
      <c r="O17" s="24">
        <v>122.19699999999999</v>
      </c>
      <c r="P17" s="27" t="s">
        <v>63</v>
      </c>
      <c r="Q17" s="24">
        <v>0.125</v>
      </c>
      <c r="R17" s="24"/>
      <c r="S17" s="24">
        <v>362.3069999999999</v>
      </c>
      <c r="T17" s="24">
        <v>0.35399999999999998</v>
      </c>
      <c r="U17" s="26">
        <v>731.52699999999993</v>
      </c>
    </row>
    <row r="18" spans="1:21" x14ac:dyDescent="0.25">
      <c r="A18" s="13" t="s">
        <v>21</v>
      </c>
      <c r="B18" s="24" t="s">
        <v>63</v>
      </c>
      <c r="C18" s="24" t="s">
        <v>63</v>
      </c>
      <c r="D18" s="54">
        <v>1E-3</v>
      </c>
      <c r="E18" s="54"/>
      <c r="F18" s="27" t="s">
        <v>63</v>
      </c>
      <c r="G18" s="24" t="s">
        <v>63</v>
      </c>
      <c r="H18" s="24">
        <v>1.3340000000000001</v>
      </c>
      <c r="I18" s="24"/>
      <c r="J18" s="26" t="s">
        <v>63</v>
      </c>
      <c r="K18" s="27" t="s">
        <v>63</v>
      </c>
      <c r="L18" s="27" t="s">
        <v>63</v>
      </c>
      <c r="M18" s="57" t="s">
        <v>63</v>
      </c>
      <c r="N18" s="27"/>
      <c r="O18" s="58">
        <v>0.19800000000000001</v>
      </c>
      <c r="P18" s="27" t="s">
        <v>63</v>
      </c>
      <c r="Q18" s="27">
        <v>0.60199999999999998</v>
      </c>
      <c r="R18" s="27"/>
      <c r="S18" s="27" t="s">
        <v>63</v>
      </c>
      <c r="T18" s="27" t="s">
        <v>63</v>
      </c>
      <c r="U18" s="26">
        <v>2.1379999999999999</v>
      </c>
    </row>
    <row r="19" spans="1:21" x14ac:dyDescent="0.25">
      <c r="A19" s="13" t="s">
        <v>22</v>
      </c>
      <c r="B19" s="24" t="s">
        <v>63</v>
      </c>
      <c r="C19" s="24" t="s">
        <v>63</v>
      </c>
      <c r="D19" s="54">
        <v>9.5579999999999998</v>
      </c>
      <c r="E19" s="54"/>
      <c r="F19" s="24" t="s">
        <v>63</v>
      </c>
      <c r="G19" s="24" t="s">
        <v>63</v>
      </c>
      <c r="H19" s="24">
        <v>0.39300000000000002</v>
      </c>
      <c r="I19" s="24"/>
      <c r="J19" s="26" t="s">
        <v>63</v>
      </c>
      <c r="K19" s="57">
        <v>2.9000000000000001E-2</v>
      </c>
      <c r="L19" s="27" t="s">
        <v>63</v>
      </c>
      <c r="M19" s="57" t="s">
        <v>63</v>
      </c>
      <c r="N19" s="27"/>
      <c r="O19" s="24">
        <v>0.246</v>
      </c>
      <c r="P19" s="27" t="s">
        <v>63</v>
      </c>
      <c r="Q19" s="27" t="s">
        <v>63</v>
      </c>
      <c r="R19" s="27"/>
      <c r="S19" s="24">
        <v>133.38099999999997</v>
      </c>
      <c r="T19" s="24">
        <v>0.62600000000000011</v>
      </c>
      <c r="U19" s="26">
        <v>144.23299999999998</v>
      </c>
    </row>
    <row r="20" spans="1:21" x14ac:dyDescent="0.25">
      <c r="A20" s="13" t="s">
        <v>23</v>
      </c>
      <c r="B20" s="24">
        <v>34.688000000000009</v>
      </c>
      <c r="C20" s="24" t="s">
        <v>63</v>
      </c>
      <c r="D20" s="54">
        <v>5.4</v>
      </c>
      <c r="E20" s="54"/>
      <c r="F20" s="27">
        <v>3.0270000000000001</v>
      </c>
      <c r="G20" s="24" t="s">
        <v>63</v>
      </c>
      <c r="H20" s="24">
        <v>16.837</v>
      </c>
      <c r="I20" s="24"/>
      <c r="J20" s="26" t="s">
        <v>63</v>
      </c>
      <c r="K20" s="57" t="s">
        <v>63</v>
      </c>
      <c r="L20" s="27" t="s">
        <v>63</v>
      </c>
      <c r="M20" s="57">
        <v>0.28999999999999998</v>
      </c>
      <c r="N20" s="27"/>
      <c r="O20" s="58">
        <v>0.21099999999999999</v>
      </c>
      <c r="P20" s="27" t="s">
        <v>63</v>
      </c>
      <c r="Q20" s="27" t="s">
        <v>63</v>
      </c>
      <c r="R20" s="27"/>
      <c r="S20" s="24">
        <v>47.54</v>
      </c>
      <c r="T20" s="29" t="s">
        <v>63</v>
      </c>
      <c r="U20" s="26">
        <v>107.01000000000002</v>
      </c>
    </row>
    <row r="21" spans="1:21" x14ac:dyDescent="0.25">
      <c r="A21" s="13" t="s">
        <v>54</v>
      </c>
      <c r="B21" s="24">
        <v>0.876</v>
      </c>
      <c r="C21" s="24" t="s">
        <v>63</v>
      </c>
      <c r="D21" s="54" t="s">
        <v>63</v>
      </c>
      <c r="E21" s="54"/>
      <c r="F21" s="24" t="s">
        <v>63</v>
      </c>
      <c r="G21" s="24" t="s">
        <v>63</v>
      </c>
      <c r="H21" s="24">
        <v>25.832000000000001</v>
      </c>
      <c r="I21" s="24"/>
      <c r="J21" s="26" t="s">
        <v>63</v>
      </c>
      <c r="K21" s="57">
        <v>0.36399999999999999</v>
      </c>
      <c r="L21" s="27" t="s">
        <v>63</v>
      </c>
      <c r="M21" s="57">
        <v>0.40500000000000003</v>
      </c>
      <c r="N21" s="24"/>
      <c r="O21" s="24">
        <v>156.91300000000001</v>
      </c>
      <c r="P21" s="27">
        <v>3.1840000000000002</v>
      </c>
      <c r="Q21" s="24">
        <v>0.47099999999999997</v>
      </c>
      <c r="R21" s="24"/>
      <c r="S21" s="24">
        <v>102.08300000000001</v>
      </c>
      <c r="T21" s="24">
        <v>0.57099999999999995</v>
      </c>
      <c r="U21" s="26">
        <v>290.69900000000007</v>
      </c>
    </row>
    <row r="22" spans="1:21" x14ac:dyDescent="0.25">
      <c r="A22" s="13" t="s">
        <v>24</v>
      </c>
      <c r="B22" s="24" t="s">
        <v>63</v>
      </c>
      <c r="C22" s="24">
        <v>0.83399999999999996</v>
      </c>
      <c r="D22" s="54">
        <v>0.46899999999999997</v>
      </c>
      <c r="E22" s="54"/>
      <c r="F22" s="24" t="s">
        <v>63</v>
      </c>
      <c r="G22" s="24" t="s">
        <v>63</v>
      </c>
      <c r="H22" s="24">
        <v>0.48299999999999998</v>
      </c>
      <c r="I22" s="24"/>
      <c r="J22" s="26" t="s">
        <v>63</v>
      </c>
      <c r="K22" s="57" t="s">
        <v>63</v>
      </c>
      <c r="L22" s="27" t="s">
        <v>63</v>
      </c>
      <c r="M22" s="24" t="s">
        <v>63</v>
      </c>
      <c r="N22" s="24"/>
      <c r="O22" s="24">
        <v>2.5289999999999999</v>
      </c>
      <c r="P22" s="27" t="s">
        <v>63</v>
      </c>
      <c r="Q22" s="24">
        <v>0.01</v>
      </c>
      <c r="R22" s="24"/>
      <c r="S22" s="24">
        <v>27.4</v>
      </c>
      <c r="T22" s="24">
        <v>10.143999999999997</v>
      </c>
      <c r="U22" s="26">
        <v>41.877000000000002</v>
      </c>
    </row>
    <row r="23" spans="1:21" x14ac:dyDescent="0.25">
      <c r="A23" s="13" t="s">
        <v>25</v>
      </c>
      <c r="B23" s="24">
        <v>44.163999999999994</v>
      </c>
      <c r="C23" s="24" t="s">
        <v>63</v>
      </c>
      <c r="D23" s="54">
        <v>5.3650000000000002</v>
      </c>
      <c r="E23" s="54"/>
      <c r="F23" s="24">
        <v>0.8</v>
      </c>
      <c r="G23" s="24">
        <v>0.217</v>
      </c>
      <c r="H23" s="24">
        <v>529.08399999999995</v>
      </c>
      <c r="I23" s="24"/>
      <c r="J23" s="26" t="s">
        <v>63</v>
      </c>
      <c r="K23" s="57">
        <v>4.9000000000000002E-2</v>
      </c>
      <c r="L23" s="27" t="s">
        <v>63</v>
      </c>
      <c r="M23" s="24">
        <v>2.3E-2</v>
      </c>
      <c r="N23" s="24"/>
      <c r="O23" s="24" t="s">
        <v>63</v>
      </c>
      <c r="P23" s="27" t="s">
        <v>63</v>
      </c>
      <c r="Q23" s="24" t="s">
        <v>63</v>
      </c>
      <c r="R23" s="24"/>
      <c r="S23" s="24">
        <v>2.6749999999999998</v>
      </c>
      <c r="T23" s="24">
        <v>0.752</v>
      </c>
      <c r="U23" s="26">
        <v>583.12899999999979</v>
      </c>
    </row>
    <row r="24" spans="1:21" x14ac:dyDescent="0.25">
      <c r="A24" s="13" t="s">
        <v>26</v>
      </c>
      <c r="B24" s="24">
        <v>0.36699999999999999</v>
      </c>
      <c r="C24" s="24">
        <v>237.756</v>
      </c>
      <c r="D24" s="54">
        <v>49.932999999999993</v>
      </c>
      <c r="E24" s="54"/>
      <c r="F24" s="24">
        <v>72.631</v>
      </c>
      <c r="G24" s="24">
        <v>0.37</v>
      </c>
      <c r="H24" s="24">
        <v>6419.6809999999996</v>
      </c>
      <c r="I24" s="24"/>
      <c r="J24" s="26" t="s">
        <v>63</v>
      </c>
      <c r="K24" s="27">
        <v>30.284000000000006</v>
      </c>
      <c r="L24" s="27" t="s">
        <v>63</v>
      </c>
      <c r="M24" s="24">
        <v>0.34</v>
      </c>
      <c r="N24" s="24"/>
      <c r="O24" s="24">
        <v>644.37099999999998</v>
      </c>
      <c r="P24" s="27">
        <v>315.5</v>
      </c>
      <c r="Q24" s="24">
        <v>1398.94</v>
      </c>
      <c r="R24" s="24"/>
      <c r="S24" s="24" t="s">
        <v>63</v>
      </c>
      <c r="T24" s="24">
        <v>6.1669999999999972</v>
      </c>
      <c r="U24" s="26">
        <v>9176.06</v>
      </c>
    </row>
    <row r="25" spans="1:21" x14ac:dyDescent="0.25">
      <c r="A25" s="13" t="s">
        <v>27</v>
      </c>
      <c r="B25" s="24">
        <v>305.06</v>
      </c>
      <c r="C25" s="24">
        <v>55.658000000000001</v>
      </c>
      <c r="D25" s="54">
        <v>3.323</v>
      </c>
      <c r="E25" s="54"/>
      <c r="F25" s="24">
        <v>3.972</v>
      </c>
      <c r="G25" s="24">
        <v>0.11800000000000001</v>
      </c>
      <c r="H25" s="24">
        <v>123.098</v>
      </c>
      <c r="I25" s="24"/>
      <c r="J25" s="26" t="s">
        <v>63</v>
      </c>
      <c r="K25" s="57">
        <v>0.38300000000000001</v>
      </c>
      <c r="L25" s="27" t="s">
        <v>63</v>
      </c>
      <c r="M25" s="58">
        <v>0.39</v>
      </c>
      <c r="N25" s="27"/>
      <c r="O25" s="24">
        <v>105.50200000000001</v>
      </c>
      <c r="P25" s="27" t="s">
        <v>63</v>
      </c>
      <c r="Q25" s="24">
        <v>20.378</v>
      </c>
      <c r="R25" s="24"/>
      <c r="S25" s="24">
        <v>353.64</v>
      </c>
      <c r="T25" s="24">
        <v>20.690999999999995</v>
      </c>
      <c r="U25" s="26">
        <v>991.66699999999992</v>
      </c>
    </row>
    <row r="26" spans="1:21" x14ac:dyDescent="0.25">
      <c r="A26" s="13" t="s">
        <v>28</v>
      </c>
      <c r="B26" s="24">
        <v>3.274</v>
      </c>
      <c r="C26" s="24" t="s">
        <v>63</v>
      </c>
      <c r="D26" s="54" t="s">
        <v>63</v>
      </c>
      <c r="E26" s="54"/>
      <c r="F26" s="24">
        <v>4.9589999999999996</v>
      </c>
      <c r="G26" s="24" t="s">
        <v>63</v>
      </c>
      <c r="H26" s="24">
        <v>13.153</v>
      </c>
      <c r="I26" s="24"/>
      <c r="J26" s="26" t="s">
        <v>63</v>
      </c>
      <c r="K26" s="57" t="s">
        <v>63</v>
      </c>
      <c r="L26" s="27" t="s">
        <v>63</v>
      </c>
      <c r="M26" s="27" t="s">
        <v>63</v>
      </c>
      <c r="N26" s="27"/>
      <c r="O26" s="27">
        <v>20.949000000000002</v>
      </c>
      <c r="P26" s="27" t="s">
        <v>63</v>
      </c>
      <c r="Q26" s="24">
        <v>6.0999999999999999E-2</v>
      </c>
      <c r="R26" s="24"/>
      <c r="S26" s="24">
        <v>0.16900000000000001</v>
      </c>
      <c r="T26" s="27">
        <v>31.802</v>
      </c>
      <c r="U26" s="26">
        <v>74.367999999999995</v>
      </c>
    </row>
    <row r="27" spans="1:21" x14ac:dyDescent="0.25">
      <c r="A27" s="13" t="s">
        <v>29</v>
      </c>
      <c r="B27" s="24">
        <v>29.638999999999999</v>
      </c>
      <c r="C27" s="24">
        <v>2.871</v>
      </c>
      <c r="D27" s="54">
        <v>35.701000000000001</v>
      </c>
      <c r="E27" s="54"/>
      <c r="F27" s="24">
        <v>5.2359999999999998</v>
      </c>
      <c r="G27" s="24" t="s">
        <v>63</v>
      </c>
      <c r="H27" s="24">
        <v>54.633000000000003</v>
      </c>
      <c r="I27" s="24"/>
      <c r="J27" s="26" t="s">
        <v>63</v>
      </c>
      <c r="K27" s="57" t="s">
        <v>63</v>
      </c>
      <c r="L27" s="27" t="s">
        <v>63</v>
      </c>
      <c r="M27" s="27" t="s">
        <v>63</v>
      </c>
      <c r="N27" s="27"/>
      <c r="O27" s="24">
        <v>2.08</v>
      </c>
      <c r="P27" s="27" t="s">
        <v>63</v>
      </c>
      <c r="Q27" s="24">
        <v>6.3010000000000002</v>
      </c>
      <c r="R27" s="24"/>
      <c r="S27" s="24">
        <v>91.57</v>
      </c>
      <c r="T27" s="58">
        <v>0.41200000000000003</v>
      </c>
      <c r="U27" s="26">
        <v>228.42500000000001</v>
      </c>
    </row>
    <row r="28" spans="1:21" x14ac:dyDescent="0.25">
      <c r="A28" s="13" t="s">
        <v>30</v>
      </c>
      <c r="B28" s="24">
        <v>1.1639999999999999</v>
      </c>
      <c r="C28" s="24">
        <v>1.897</v>
      </c>
      <c r="D28" s="54">
        <v>1.6019999999999999</v>
      </c>
      <c r="E28" s="54"/>
      <c r="F28" s="24" t="s">
        <v>63</v>
      </c>
      <c r="G28" s="24">
        <v>0.34300000000000003</v>
      </c>
      <c r="H28" s="24">
        <v>24.584</v>
      </c>
      <c r="I28" s="24"/>
      <c r="J28" s="26" t="s">
        <v>63</v>
      </c>
      <c r="K28" s="57" t="s">
        <v>63</v>
      </c>
      <c r="L28" s="27" t="s">
        <v>63</v>
      </c>
      <c r="M28" s="27" t="s">
        <v>63</v>
      </c>
      <c r="N28" s="27"/>
      <c r="O28" s="58">
        <v>0.28199999999999997</v>
      </c>
      <c r="P28" s="27" t="s">
        <v>63</v>
      </c>
      <c r="Q28" s="27" t="s">
        <v>63</v>
      </c>
      <c r="R28" s="27"/>
      <c r="S28" s="24">
        <v>33.85</v>
      </c>
      <c r="T28" s="24">
        <v>0.12000000000000001</v>
      </c>
      <c r="U28" s="26">
        <v>63.692999999999998</v>
      </c>
    </row>
    <row r="29" spans="1:21" x14ac:dyDescent="0.25">
      <c r="A29" s="13" t="s">
        <v>31</v>
      </c>
      <c r="B29" s="24">
        <v>1.7389999999999999</v>
      </c>
      <c r="C29" s="24" t="s">
        <v>63</v>
      </c>
      <c r="D29" s="54">
        <v>21.558000000000007</v>
      </c>
      <c r="E29" s="54"/>
      <c r="F29" s="24">
        <v>1.7889999999999999</v>
      </c>
      <c r="G29" s="24" t="s">
        <v>63</v>
      </c>
      <c r="H29" s="24">
        <v>3.3</v>
      </c>
      <c r="I29" s="24"/>
      <c r="J29" s="26" t="s">
        <v>63</v>
      </c>
      <c r="K29" s="57" t="s">
        <v>63</v>
      </c>
      <c r="L29" s="27" t="s">
        <v>63</v>
      </c>
      <c r="M29" s="27" t="s">
        <v>63</v>
      </c>
      <c r="N29" s="27"/>
      <c r="O29" s="24">
        <v>1.0419999999999998</v>
      </c>
      <c r="P29" s="24">
        <v>1.8120000000000001</v>
      </c>
      <c r="Q29" s="24">
        <v>12</v>
      </c>
      <c r="R29" s="24"/>
      <c r="S29" s="24">
        <v>38.013999999999996</v>
      </c>
      <c r="T29" s="24">
        <v>39.75500000000001</v>
      </c>
      <c r="U29" s="26">
        <v>121.00900000000001</v>
      </c>
    </row>
    <row r="30" spans="1:21" x14ac:dyDescent="0.25">
      <c r="A30" s="13" t="s">
        <v>32</v>
      </c>
      <c r="B30" s="24">
        <v>1.1319999999999999</v>
      </c>
      <c r="C30" s="24" t="s">
        <v>63</v>
      </c>
      <c r="D30" s="54">
        <v>9.0220000000000002</v>
      </c>
      <c r="E30" s="54"/>
      <c r="F30" s="24">
        <v>9.9000000000000005E-2</v>
      </c>
      <c r="G30" s="24">
        <v>0.28499999999999998</v>
      </c>
      <c r="H30" s="24">
        <v>21.321000000000002</v>
      </c>
      <c r="I30" s="24"/>
      <c r="J30" s="26" t="s">
        <v>63</v>
      </c>
      <c r="K30" s="27">
        <v>12.606</v>
      </c>
      <c r="L30" s="27" t="s">
        <v>63</v>
      </c>
      <c r="M30" s="58">
        <v>0.43</v>
      </c>
      <c r="N30" s="24"/>
      <c r="O30" s="24">
        <v>18.304000000000002</v>
      </c>
      <c r="P30" s="24" t="s">
        <v>63</v>
      </c>
      <c r="Q30" s="24">
        <v>1.607</v>
      </c>
      <c r="R30" s="24"/>
      <c r="S30" s="24">
        <v>0.20100000000000001</v>
      </c>
      <c r="T30" s="24">
        <v>4.7270000000000003</v>
      </c>
      <c r="U30" s="26">
        <v>69.734000000000009</v>
      </c>
    </row>
    <row r="31" spans="1:21" x14ac:dyDescent="0.25">
      <c r="A31" s="13" t="s">
        <v>33</v>
      </c>
      <c r="B31" s="24">
        <v>1478.5989999999999</v>
      </c>
      <c r="C31" s="24">
        <v>0.41000000000000003</v>
      </c>
      <c r="D31" s="54">
        <v>104.01</v>
      </c>
      <c r="E31" s="54"/>
      <c r="F31" s="24">
        <v>248.26300000000001</v>
      </c>
      <c r="G31" s="24">
        <v>153.876</v>
      </c>
      <c r="H31" s="24">
        <v>651.60799999999995</v>
      </c>
      <c r="I31" s="24"/>
      <c r="J31" s="26" t="s">
        <v>63</v>
      </c>
      <c r="K31" s="27">
        <v>57.633000000000003</v>
      </c>
      <c r="L31" s="27" t="s">
        <v>63</v>
      </c>
      <c r="M31" s="27">
        <v>49.271000000000001</v>
      </c>
      <c r="N31" s="24"/>
      <c r="O31" s="24">
        <v>701.67099999999982</v>
      </c>
      <c r="P31" s="24">
        <v>5.0129999999999999</v>
      </c>
      <c r="Q31" s="24">
        <v>0.47099999999999997</v>
      </c>
      <c r="R31" s="24"/>
      <c r="S31" s="24">
        <v>0.02</v>
      </c>
      <c r="T31" s="27">
        <v>14.565999999999974</v>
      </c>
      <c r="U31" s="26">
        <v>3465.4109999999991</v>
      </c>
    </row>
    <row r="32" spans="1:21" x14ac:dyDescent="0.25">
      <c r="A32" s="13" t="s">
        <v>45</v>
      </c>
      <c r="B32" s="24">
        <v>4.7639999999999993</v>
      </c>
      <c r="C32" s="24">
        <v>1.0449999999999999</v>
      </c>
      <c r="D32" s="54" t="s">
        <v>63</v>
      </c>
      <c r="E32" s="54"/>
      <c r="F32" s="24" t="s">
        <v>63</v>
      </c>
      <c r="G32" s="27" t="s">
        <v>63</v>
      </c>
      <c r="H32" s="24">
        <v>5.2240000000000002</v>
      </c>
      <c r="I32" s="24"/>
      <c r="J32" s="26" t="s">
        <v>63</v>
      </c>
      <c r="K32" s="27">
        <v>0.877</v>
      </c>
      <c r="L32" s="27" t="s">
        <v>63</v>
      </c>
      <c r="M32" s="24">
        <v>0.32</v>
      </c>
      <c r="N32" s="24"/>
      <c r="O32" s="24">
        <v>2.645</v>
      </c>
      <c r="P32" s="24" t="s">
        <v>63</v>
      </c>
      <c r="Q32" s="24">
        <v>5.4939999999999998</v>
      </c>
      <c r="R32" s="24"/>
      <c r="S32" s="24">
        <v>39.979999999999997</v>
      </c>
      <c r="T32" s="24" t="s">
        <v>63</v>
      </c>
      <c r="U32" s="26">
        <v>60.049000000000007</v>
      </c>
    </row>
    <row r="33" spans="1:22" x14ac:dyDescent="0.25">
      <c r="A33" s="13" t="s">
        <v>55</v>
      </c>
      <c r="B33" s="24">
        <v>2.399</v>
      </c>
      <c r="C33" s="27" t="s">
        <v>63</v>
      </c>
      <c r="D33" s="54">
        <v>0.05</v>
      </c>
      <c r="E33" s="54"/>
      <c r="F33" s="27">
        <v>2.5</v>
      </c>
      <c r="G33" s="27" t="s">
        <v>63</v>
      </c>
      <c r="H33" s="27">
        <v>43.265000000000001</v>
      </c>
      <c r="I33" s="27"/>
      <c r="J33" s="26" t="s">
        <v>63</v>
      </c>
      <c r="K33" s="27" t="s">
        <v>63</v>
      </c>
      <c r="L33" s="27" t="s">
        <v>63</v>
      </c>
      <c r="M33" s="27" t="s">
        <v>63</v>
      </c>
      <c r="N33" s="27"/>
      <c r="O33" s="24">
        <v>0.65699999999999992</v>
      </c>
      <c r="P33" s="24" t="s">
        <v>63</v>
      </c>
      <c r="Q33" s="27">
        <v>4.9790000000000001</v>
      </c>
      <c r="R33" s="27"/>
      <c r="S33" s="24">
        <v>11.282000000000002</v>
      </c>
      <c r="T33" s="24">
        <v>0.79499999999999993</v>
      </c>
      <c r="U33" s="26">
        <v>65.927999999999997</v>
      </c>
    </row>
    <row r="34" spans="1:22" x14ac:dyDescent="0.25">
      <c r="A34" s="13" t="s">
        <v>46</v>
      </c>
      <c r="B34" s="24">
        <v>7.9819999999999993</v>
      </c>
      <c r="C34" s="27">
        <v>1.155</v>
      </c>
      <c r="D34" s="54">
        <v>116.89400000000001</v>
      </c>
      <c r="E34" s="54"/>
      <c r="F34" s="24">
        <v>11.897000000000002</v>
      </c>
      <c r="G34" s="24">
        <v>0.93400000000000005</v>
      </c>
      <c r="H34" s="27">
        <v>81.706999999999994</v>
      </c>
      <c r="I34" s="27"/>
      <c r="J34" s="26" t="s">
        <v>63</v>
      </c>
      <c r="K34" s="27">
        <v>3.0910000000000002</v>
      </c>
      <c r="L34" s="27" t="s">
        <v>63</v>
      </c>
      <c r="M34" s="24">
        <v>0.78</v>
      </c>
      <c r="N34" s="24"/>
      <c r="O34" s="24">
        <v>70.164999999999992</v>
      </c>
      <c r="P34" s="24" t="s">
        <v>63</v>
      </c>
      <c r="Q34" s="24">
        <v>17.05</v>
      </c>
      <c r="R34" s="24"/>
      <c r="S34" s="24">
        <v>710.625</v>
      </c>
      <c r="T34" s="24">
        <v>19.382000000000005</v>
      </c>
      <c r="U34" s="26">
        <v>1041.662</v>
      </c>
    </row>
    <row r="35" spans="1:22" x14ac:dyDescent="0.25">
      <c r="A35" s="13" t="s">
        <v>34</v>
      </c>
      <c r="B35" s="24">
        <v>32.918000000000006</v>
      </c>
      <c r="C35" s="27" t="s">
        <v>63</v>
      </c>
      <c r="D35" s="54" t="s">
        <v>63</v>
      </c>
      <c r="E35" s="54"/>
      <c r="F35" s="24">
        <v>1.5449999999999999</v>
      </c>
      <c r="G35" s="24" t="s">
        <v>63</v>
      </c>
      <c r="H35" s="27">
        <v>16.917999999999999</v>
      </c>
      <c r="I35" s="27"/>
      <c r="J35" s="26" t="s">
        <v>63</v>
      </c>
      <c r="K35" s="27" t="s">
        <v>63</v>
      </c>
      <c r="L35" s="27" t="s">
        <v>63</v>
      </c>
      <c r="M35" s="24" t="s">
        <v>63</v>
      </c>
      <c r="N35" s="24"/>
      <c r="O35" s="24" t="s">
        <v>63</v>
      </c>
      <c r="P35" s="24" t="s">
        <v>63</v>
      </c>
      <c r="Q35" s="24" t="s">
        <v>63</v>
      </c>
      <c r="R35" s="24"/>
      <c r="S35" s="24">
        <v>35.56</v>
      </c>
      <c r="T35" s="24">
        <v>3.5999999999999997E-2</v>
      </c>
      <c r="U35" s="26">
        <v>86.783000000000015</v>
      </c>
    </row>
    <row r="36" spans="1:22" x14ac:dyDescent="0.25">
      <c r="A36" s="13" t="s">
        <v>35</v>
      </c>
      <c r="B36" s="24">
        <v>2.94</v>
      </c>
      <c r="C36" s="27" t="s">
        <v>63</v>
      </c>
      <c r="D36" s="54" t="s">
        <v>63</v>
      </c>
      <c r="E36" s="54"/>
      <c r="F36" s="24" t="s">
        <v>63</v>
      </c>
      <c r="G36" s="24" t="s">
        <v>63</v>
      </c>
      <c r="H36" s="27" t="s">
        <v>63</v>
      </c>
      <c r="I36" s="27"/>
      <c r="J36" s="26" t="s">
        <v>63</v>
      </c>
      <c r="K36" s="27" t="s">
        <v>63</v>
      </c>
      <c r="L36" s="27" t="s">
        <v>63</v>
      </c>
      <c r="M36" s="24" t="s">
        <v>63</v>
      </c>
      <c r="N36" s="24"/>
      <c r="O36" s="24" t="s">
        <v>63</v>
      </c>
      <c r="P36" s="24" t="s">
        <v>63</v>
      </c>
      <c r="Q36" s="24" t="s">
        <v>63</v>
      </c>
      <c r="R36" s="24"/>
      <c r="S36" s="24">
        <v>119.45</v>
      </c>
      <c r="T36" s="24">
        <v>22.641999999999999</v>
      </c>
      <c r="U36" s="26">
        <v>144.95400000000001</v>
      </c>
    </row>
    <row r="37" spans="1:22" ht="15.75" thickBot="1" x14ac:dyDescent="0.3">
      <c r="A37" s="15" t="s">
        <v>51</v>
      </c>
      <c r="B37" s="30">
        <v>401.54599999999999</v>
      </c>
      <c r="C37" s="31" t="s">
        <v>63</v>
      </c>
      <c r="D37" s="55">
        <v>0.01</v>
      </c>
      <c r="E37" s="55"/>
      <c r="F37" s="30" t="s">
        <v>63</v>
      </c>
      <c r="G37" s="30">
        <v>2.1459999999999999</v>
      </c>
      <c r="H37" s="32">
        <v>0.40300000000000002</v>
      </c>
      <c r="I37" s="31"/>
      <c r="J37" s="33" t="s">
        <v>63</v>
      </c>
      <c r="K37" s="31" t="s">
        <v>63</v>
      </c>
      <c r="L37" s="31" t="s">
        <v>63</v>
      </c>
      <c r="M37" s="30">
        <v>4.7699999999999996</v>
      </c>
      <c r="N37" s="30"/>
      <c r="O37" s="30">
        <v>843.18399999999997</v>
      </c>
      <c r="P37" s="30" t="s">
        <v>63</v>
      </c>
      <c r="Q37" s="30">
        <v>0.1</v>
      </c>
      <c r="R37" s="30"/>
      <c r="S37" s="30">
        <v>33.033000000000001</v>
      </c>
      <c r="T37" s="30">
        <v>1.2490000000000001</v>
      </c>
      <c r="U37" s="33">
        <v>1289.3609999999999</v>
      </c>
    </row>
    <row r="38" spans="1:22" ht="15" customHeight="1" x14ac:dyDescent="0.25">
      <c r="A38" s="37" t="s">
        <v>52</v>
      </c>
      <c r="B38" s="37"/>
      <c r="C38" s="37"/>
      <c r="D38" s="38"/>
      <c r="E38" s="10"/>
      <c r="F38" s="10"/>
      <c r="G38" s="10"/>
      <c r="H38" s="10"/>
      <c r="I38" s="1"/>
      <c r="J38" s="10"/>
      <c r="K38" s="10"/>
      <c r="L38" s="10"/>
      <c r="M38" s="10"/>
      <c r="N38" s="10"/>
      <c r="O38" s="10"/>
      <c r="P38" s="39" t="s">
        <v>53</v>
      </c>
      <c r="Q38" s="39"/>
      <c r="R38" s="39"/>
      <c r="S38" s="39"/>
      <c r="T38" s="39"/>
      <c r="U38" s="39"/>
    </row>
    <row r="39" spans="1:22" x14ac:dyDescent="0.25">
      <c r="A39" s="38"/>
      <c r="B39" s="38"/>
      <c r="C39" s="38"/>
      <c r="D39" s="38"/>
      <c r="P39" s="35"/>
      <c r="Q39" s="35"/>
      <c r="R39" s="35"/>
      <c r="S39" s="35"/>
      <c r="T39" s="35"/>
      <c r="U39" s="35"/>
    </row>
    <row r="40" spans="1:22" ht="6.75" customHeight="1" x14ac:dyDescent="0.25">
      <c r="A40" s="38"/>
      <c r="B40" s="38"/>
      <c r="C40" s="38"/>
      <c r="D40" s="38"/>
      <c r="P40" s="35"/>
      <c r="Q40" s="35"/>
      <c r="R40" s="35"/>
      <c r="S40" s="35"/>
      <c r="T40" s="35"/>
      <c r="U40" s="35"/>
    </row>
    <row r="41" spans="1:22" ht="15" customHeight="1" x14ac:dyDescent="0.25">
      <c r="A41" s="34" t="s">
        <v>56</v>
      </c>
      <c r="B41" s="34"/>
      <c r="C41" s="34"/>
      <c r="D41" s="34"/>
      <c r="E41" s="34"/>
      <c r="P41" s="36" t="s">
        <v>58</v>
      </c>
      <c r="Q41" s="36"/>
      <c r="R41" s="36"/>
      <c r="S41" s="36"/>
      <c r="T41" s="36"/>
      <c r="U41" s="36"/>
      <c r="V41" s="36"/>
    </row>
    <row r="42" spans="1:22" x14ac:dyDescent="0.25">
      <c r="A42" s="34"/>
      <c r="B42" s="34"/>
      <c r="C42" s="34"/>
      <c r="D42" s="34"/>
      <c r="E42" s="34"/>
      <c r="P42" s="36"/>
      <c r="Q42" s="36"/>
      <c r="R42" s="36"/>
      <c r="S42" s="36"/>
      <c r="T42" s="36"/>
      <c r="U42" s="36"/>
      <c r="V42" s="36"/>
    </row>
    <row r="43" spans="1:22" ht="15" customHeight="1" x14ac:dyDescent="0.25">
      <c r="A43" s="35" t="s">
        <v>57</v>
      </c>
      <c r="B43" s="35"/>
      <c r="C43" s="35"/>
      <c r="D43" s="35"/>
      <c r="E43" s="35"/>
      <c r="P43" s="36" t="s">
        <v>59</v>
      </c>
      <c r="Q43" s="36"/>
      <c r="R43" s="36"/>
      <c r="S43" s="36"/>
      <c r="T43" s="36"/>
      <c r="U43" s="36"/>
      <c r="V43" s="36"/>
    </row>
    <row r="44" spans="1:22" x14ac:dyDescent="0.25">
      <c r="A44" s="35"/>
      <c r="B44" s="35"/>
      <c r="C44" s="35"/>
      <c r="D44" s="35"/>
      <c r="E44" s="35"/>
      <c r="P44" s="36"/>
      <c r="Q44" s="36"/>
      <c r="R44" s="36"/>
      <c r="S44" s="36"/>
      <c r="T44" s="36"/>
      <c r="U44" s="36"/>
      <c r="V44" s="36"/>
    </row>
  </sheetData>
  <mergeCells count="51">
    <mergeCell ref="D36:E36"/>
    <mergeCell ref="D37:E37"/>
    <mergeCell ref="D5:E5"/>
    <mergeCell ref="D31:E31"/>
    <mergeCell ref="D32:E32"/>
    <mergeCell ref="D33:E33"/>
    <mergeCell ref="D34:E34"/>
    <mergeCell ref="D35:E35"/>
    <mergeCell ref="D26:E26"/>
    <mergeCell ref="D27:E27"/>
    <mergeCell ref="D28:E28"/>
    <mergeCell ref="D29:E29"/>
    <mergeCell ref="D30:E30"/>
    <mergeCell ref="D21:E21"/>
    <mergeCell ref="D22:E22"/>
    <mergeCell ref="D23:E23"/>
    <mergeCell ref="D24:E24"/>
    <mergeCell ref="D25:E25"/>
    <mergeCell ref="D16:E16"/>
    <mergeCell ref="D17:E17"/>
    <mergeCell ref="D18:E18"/>
    <mergeCell ref="D19:E19"/>
    <mergeCell ref="D20:E20"/>
    <mergeCell ref="D11:E11"/>
    <mergeCell ref="D12:E12"/>
    <mergeCell ref="D13:E13"/>
    <mergeCell ref="D14:E14"/>
    <mergeCell ref="D15:E15"/>
    <mergeCell ref="D6:E6"/>
    <mergeCell ref="D7:E7"/>
    <mergeCell ref="D8:E8"/>
    <mergeCell ref="D9:E9"/>
    <mergeCell ref="D10:E10"/>
    <mergeCell ref="T4:T5"/>
    <mergeCell ref="U4:U5"/>
    <mergeCell ref="A1:U1"/>
    <mergeCell ref="T2:U2"/>
    <mergeCell ref="B3:H3"/>
    <mergeCell ref="J3:M3"/>
    <mergeCell ref="O3:Q3"/>
    <mergeCell ref="A4:A5"/>
    <mergeCell ref="B4:H4"/>
    <mergeCell ref="J4:M4"/>
    <mergeCell ref="O4:Q4"/>
    <mergeCell ref="S4:S5"/>
    <mergeCell ref="A41:E42"/>
    <mergeCell ref="A43:E44"/>
    <mergeCell ref="P41:V42"/>
    <mergeCell ref="P43:V44"/>
    <mergeCell ref="A38:D40"/>
    <mergeCell ref="P38:U4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2014-12-11T11:32:54Z</dcterms:created>
  <dcterms:modified xsi:type="dcterms:W3CDTF">2025-05-15T07:59:09Z</dcterms:modified>
</cp:coreProperties>
</file>