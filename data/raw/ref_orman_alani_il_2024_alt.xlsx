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8_{EEB58C5B-337B-420A-B231-E6E9AC2B88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an" sheetId="6" r:id="rId1"/>
    <sheet name="Servet" sheetId="7" r:id="rId2"/>
    <sheet name="Cari Artım" sheetId="8" r:id="rId3"/>
  </sheets>
  <definedNames>
    <definedName name="_xlnm._FilterDatabase" localSheetId="0" hidden="1">Alan!$C$6:$E$90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2" i="6" l="1"/>
  <c r="D86" i="6"/>
  <c r="D84" i="6"/>
  <c r="D81" i="6"/>
  <c r="D79" i="6"/>
  <c r="D78" i="6"/>
  <c r="E7" i="6"/>
  <c r="C7" i="6"/>
  <c r="D7" i="6" l="1"/>
</calcChain>
</file>

<file path=xl/sharedStrings.xml><?xml version="1.0" encoding="utf-8"?>
<sst xmlns="http://schemas.openxmlformats.org/spreadsheetml/2006/main" count="722" uniqueCount="202">
  <si>
    <t>TR</t>
  </si>
  <si>
    <r>
      <t>Türkiye -</t>
    </r>
    <r>
      <rPr>
        <sz val="8"/>
        <rFont val="Tahoma"/>
        <family val="2"/>
        <charset val="162"/>
      </rPr>
      <t>Turkey</t>
    </r>
  </si>
  <si>
    <t>TR100</t>
  </si>
  <si>
    <t>İstanbul</t>
  </si>
  <si>
    <t>TR211</t>
  </si>
  <si>
    <t>Tekirdağ</t>
  </si>
  <si>
    <t>TR212</t>
  </si>
  <si>
    <t>Edirne</t>
  </si>
  <si>
    <t>TR213</t>
  </si>
  <si>
    <t>Kırklareli</t>
  </si>
  <si>
    <t>TR221</t>
  </si>
  <si>
    <t>Balıkesir</t>
  </si>
  <si>
    <t>TR222</t>
  </si>
  <si>
    <t>Çanakkale</t>
  </si>
  <si>
    <t>TR310</t>
  </si>
  <si>
    <t>İzmir</t>
  </si>
  <si>
    <t>TR321</t>
  </si>
  <si>
    <t>Aydın</t>
  </si>
  <si>
    <t>TR322</t>
  </si>
  <si>
    <t>Denizli</t>
  </si>
  <si>
    <t>TR323</t>
  </si>
  <si>
    <t>Muğla</t>
  </si>
  <si>
    <t>TR331</t>
  </si>
  <si>
    <t>Manisa</t>
  </si>
  <si>
    <t>TR332</t>
  </si>
  <si>
    <t>Afyonkarahisar</t>
  </si>
  <si>
    <t>TR333</t>
  </si>
  <si>
    <t>Kütahya</t>
  </si>
  <si>
    <t>TR334</t>
  </si>
  <si>
    <t>Uşak</t>
  </si>
  <si>
    <t>TR411</t>
  </si>
  <si>
    <t>Bursa</t>
  </si>
  <si>
    <t>TR412</t>
  </si>
  <si>
    <t>Eskişehir</t>
  </si>
  <si>
    <t>TR413</t>
  </si>
  <si>
    <t>Bilecik</t>
  </si>
  <si>
    <t>TR421</t>
  </si>
  <si>
    <t>Kocaeli</t>
  </si>
  <si>
    <t>TR422</t>
  </si>
  <si>
    <t>Sakarya</t>
  </si>
  <si>
    <t>TR423</t>
  </si>
  <si>
    <t>Düzce</t>
  </si>
  <si>
    <t>TR424</t>
  </si>
  <si>
    <t>Bolu</t>
  </si>
  <si>
    <t>TR425</t>
  </si>
  <si>
    <t>Yalova</t>
  </si>
  <si>
    <t>TR510</t>
  </si>
  <si>
    <t>Ankara</t>
  </si>
  <si>
    <t>TR521</t>
  </si>
  <si>
    <t>Konya</t>
  </si>
  <si>
    <t>TR522</t>
  </si>
  <si>
    <t>Karaman</t>
  </si>
  <si>
    <t>TR611</t>
  </si>
  <si>
    <t>Antalya</t>
  </si>
  <si>
    <t>TR612</t>
  </si>
  <si>
    <t>Isparta</t>
  </si>
  <si>
    <t>TR613</t>
  </si>
  <si>
    <t>Burdur</t>
  </si>
  <si>
    <t>TR621</t>
  </si>
  <si>
    <t>Adana</t>
  </si>
  <si>
    <t>TR622</t>
  </si>
  <si>
    <t>Mersin</t>
  </si>
  <si>
    <t>TR631</t>
  </si>
  <si>
    <t>Hatay</t>
  </si>
  <si>
    <t>TR632</t>
  </si>
  <si>
    <t>Kahramanmaraş</t>
  </si>
  <si>
    <t>TR633</t>
  </si>
  <si>
    <t>Osmaniye</t>
  </si>
  <si>
    <t>TR711</t>
  </si>
  <si>
    <t>Kırıkkale</t>
  </si>
  <si>
    <t>TR712</t>
  </si>
  <si>
    <t>Aksaray</t>
  </si>
  <si>
    <t>TR713</t>
  </si>
  <si>
    <t>Niğde</t>
  </si>
  <si>
    <t>TR714</t>
  </si>
  <si>
    <t>Nevşehir</t>
  </si>
  <si>
    <t>TR715</t>
  </si>
  <si>
    <t>Kırşehir</t>
  </si>
  <si>
    <t>TR721</t>
  </si>
  <si>
    <t>Kayseri</t>
  </si>
  <si>
    <t>TR722</t>
  </si>
  <si>
    <t>Sivas</t>
  </si>
  <si>
    <t>TR723</t>
  </si>
  <si>
    <t>Yozgat</t>
  </si>
  <si>
    <t>TR811</t>
  </si>
  <si>
    <t>Zonguldak</t>
  </si>
  <si>
    <t>TR812</t>
  </si>
  <si>
    <t>Karabük</t>
  </si>
  <si>
    <t>TR813</t>
  </si>
  <si>
    <t>Bartın</t>
  </si>
  <si>
    <t>TR821</t>
  </si>
  <si>
    <t>Kastamonu</t>
  </si>
  <si>
    <t>TR822</t>
  </si>
  <si>
    <t>Çankırı</t>
  </si>
  <si>
    <t>TR823</t>
  </si>
  <si>
    <t>Sinop</t>
  </si>
  <si>
    <t>TR831</t>
  </si>
  <si>
    <t>Samsun</t>
  </si>
  <si>
    <t>TR832</t>
  </si>
  <si>
    <t>Tokat</t>
  </si>
  <si>
    <t>TR833</t>
  </si>
  <si>
    <t>Çorum</t>
  </si>
  <si>
    <t>TR834</t>
  </si>
  <si>
    <t>Amasya</t>
  </si>
  <si>
    <t>TR901</t>
  </si>
  <si>
    <t>Trabzon</t>
  </si>
  <si>
    <t>TR902</t>
  </si>
  <si>
    <t>Ordu</t>
  </si>
  <si>
    <t>TR903</t>
  </si>
  <si>
    <t>Giresun</t>
  </si>
  <si>
    <t>TR904</t>
  </si>
  <si>
    <t>Rize</t>
  </si>
  <si>
    <t>TR905</t>
  </si>
  <si>
    <t>Artvin</t>
  </si>
  <si>
    <t>TR906</t>
  </si>
  <si>
    <t>Gümüşhane</t>
  </si>
  <si>
    <t>TRA11</t>
  </si>
  <si>
    <t>Erzurum</t>
  </si>
  <si>
    <t>TRA12</t>
  </si>
  <si>
    <t>Erzincan</t>
  </si>
  <si>
    <t>TRA13</t>
  </si>
  <si>
    <t>Bayburt</t>
  </si>
  <si>
    <t>TRA21</t>
  </si>
  <si>
    <t>Ağrı</t>
  </si>
  <si>
    <t>TRA22</t>
  </si>
  <si>
    <t>Kars</t>
  </si>
  <si>
    <t>TRA23</t>
  </si>
  <si>
    <t>Iğdır</t>
  </si>
  <si>
    <t>TRA24</t>
  </si>
  <si>
    <t>Ardahan</t>
  </si>
  <si>
    <t>TRB11</t>
  </si>
  <si>
    <t>Malatya</t>
  </si>
  <si>
    <t>TRB12</t>
  </si>
  <si>
    <t>Elazığ</t>
  </si>
  <si>
    <t>TRB13</t>
  </si>
  <si>
    <t>Bingöl</t>
  </si>
  <si>
    <t>TRB14</t>
  </si>
  <si>
    <t>Tunceli</t>
  </si>
  <si>
    <t>TRB21</t>
  </si>
  <si>
    <t>Van</t>
  </si>
  <si>
    <t>TRB22</t>
  </si>
  <si>
    <t>Muş</t>
  </si>
  <si>
    <t>TRB23</t>
  </si>
  <si>
    <t>Bitlis</t>
  </si>
  <si>
    <t>TRB24</t>
  </si>
  <si>
    <t>Hakkari</t>
  </si>
  <si>
    <t>TRC11</t>
  </si>
  <si>
    <t>Gaziantep</t>
  </si>
  <si>
    <t>TRC12</t>
  </si>
  <si>
    <t>Adıyaman</t>
  </si>
  <si>
    <t>TRC13</t>
  </si>
  <si>
    <t>Kilis</t>
  </si>
  <si>
    <t>TRC21</t>
  </si>
  <si>
    <t>Şanlıurfa</t>
  </si>
  <si>
    <t>TRC22</t>
  </si>
  <si>
    <t>Diyarbakır</t>
  </si>
  <si>
    <t>TRC31</t>
  </si>
  <si>
    <t>Mardin</t>
  </si>
  <si>
    <t>TRC32</t>
  </si>
  <si>
    <t>Batman</t>
  </si>
  <si>
    <t>TRC33</t>
  </si>
  <si>
    <t>Şırnak</t>
  </si>
  <si>
    <t>TRC34</t>
  </si>
  <si>
    <t>Siirt</t>
  </si>
  <si>
    <t>(1) İstatistiki Bölge Birimleri Sınıflaması.</t>
  </si>
  <si>
    <t xml:space="preserve">Kaynak: Orman Genel Müdürlüğü </t>
  </si>
  <si>
    <t>Productive</t>
  </si>
  <si>
    <t>Degraded</t>
  </si>
  <si>
    <t>Source: General Directorate of Forestry</t>
  </si>
  <si>
    <r>
      <rPr>
        <b/>
        <sz val="8"/>
        <rFont val="Tahoma"/>
        <family val="2"/>
        <charset val="162"/>
      </rPr>
      <t>(Hektar</t>
    </r>
    <r>
      <rPr>
        <sz val="8"/>
        <rFont val="Tahoma"/>
        <family val="2"/>
        <charset val="162"/>
      </rPr>
      <t xml:space="preserve"> - Hectare)</t>
    </r>
  </si>
  <si>
    <r>
      <t xml:space="preserve">Toplam - </t>
    </r>
    <r>
      <rPr>
        <sz val="8"/>
        <color theme="1"/>
        <rFont val="Tahoma"/>
        <family val="2"/>
        <charset val="162"/>
      </rPr>
      <t>Total</t>
    </r>
  </si>
  <si>
    <r>
      <t xml:space="preserve">Orman Alanı - </t>
    </r>
    <r>
      <rPr>
        <sz val="8"/>
        <rFont val="Tahoma"/>
        <family val="2"/>
        <charset val="162"/>
      </rPr>
      <t>Forest Area</t>
    </r>
  </si>
  <si>
    <t xml:space="preserve">                  (1) Statistical Regions.</t>
  </si>
  <si>
    <t>Koru</t>
  </si>
  <si>
    <t>Baltalık</t>
  </si>
  <si>
    <r>
      <t>(</t>
    </r>
    <r>
      <rPr>
        <b/>
        <sz val="8"/>
        <rFont val="Tahoma"/>
        <family val="2"/>
        <charset val="162"/>
      </rPr>
      <t>m</t>
    </r>
    <r>
      <rPr>
        <b/>
        <sz val="8"/>
        <rFont val="Arial Tur"/>
        <charset val="162"/>
      </rPr>
      <t>³</t>
    </r>
    <r>
      <rPr>
        <sz val="8"/>
        <rFont val="Tahoma"/>
        <family val="2"/>
        <charset val="162"/>
      </rPr>
      <t xml:space="preserve"> )</t>
    </r>
  </si>
  <si>
    <r>
      <t xml:space="preserve">Orman Serveti - </t>
    </r>
    <r>
      <rPr>
        <sz val="8"/>
        <rFont val="Tahoma"/>
        <family val="2"/>
        <charset val="162"/>
      </rPr>
      <t xml:space="preserve"> Forest growing stock</t>
    </r>
  </si>
  <si>
    <t xml:space="preserve">Toplam </t>
  </si>
  <si>
    <t xml:space="preserve">Baltalık                                                                </t>
  </si>
  <si>
    <t>Total</t>
  </si>
  <si>
    <t xml:space="preserve"> High Forest</t>
  </si>
  <si>
    <t xml:space="preserve">  Coppice</t>
  </si>
  <si>
    <r>
      <t>Not:(1)Sterden m</t>
    </r>
    <r>
      <rPr>
        <b/>
        <vertAlign val="superscript"/>
        <sz val="7"/>
        <color rgb="FF000000"/>
        <rFont val="Tahoma"/>
        <family val="2"/>
        <charset val="162"/>
      </rPr>
      <t>3</t>
    </r>
    <r>
      <rPr>
        <b/>
        <sz val="7"/>
        <color rgb="FF000000"/>
        <rFont val="Tahoma"/>
        <family val="2"/>
        <charset val="162"/>
      </rPr>
      <t>’e çevirme emsali olarak 0,75 alınmıştır.</t>
    </r>
  </si>
  <si>
    <r>
      <t>Note:(1)Conversion factor from stere to m</t>
    </r>
    <r>
      <rPr>
        <vertAlign val="superscript"/>
        <sz val="7"/>
        <color rgb="FF000000"/>
        <rFont val="Tahoma"/>
        <family val="2"/>
        <charset val="162"/>
      </rPr>
      <t>3</t>
    </r>
    <r>
      <rPr>
        <sz val="7"/>
        <color rgb="FF000000"/>
        <rFont val="Tahoma"/>
        <family val="2"/>
        <charset val="162"/>
      </rPr>
      <t xml:space="preserve"> is taken as 0,75.</t>
    </r>
  </si>
  <si>
    <t>(2) İstatistiki Bölge Birimleri Sınıflaması.</t>
  </si>
  <si>
    <t>(2) Statistical Regions.</t>
  </si>
  <si>
    <r>
      <t xml:space="preserve">Orman Artımı - </t>
    </r>
    <r>
      <rPr>
        <sz val="8"/>
        <rFont val="Tahoma"/>
        <family val="2"/>
        <charset val="162"/>
      </rPr>
      <t xml:space="preserve"> Forest increment</t>
    </r>
  </si>
  <si>
    <t xml:space="preserve">                               Toplam </t>
  </si>
  <si>
    <t xml:space="preserve">       Koru</t>
  </si>
  <si>
    <t xml:space="preserve">                                Total</t>
  </si>
  <si>
    <r>
      <t>Not: (1)Sterden m</t>
    </r>
    <r>
      <rPr>
        <b/>
        <vertAlign val="superscript"/>
        <sz val="7"/>
        <rFont val="Tahoma"/>
        <family val="2"/>
        <charset val="162"/>
      </rPr>
      <t>3</t>
    </r>
    <r>
      <rPr>
        <b/>
        <sz val="7"/>
        <rFont val="Tahoma"/>
        <family val="2"/>
        <charset val="162"/>
      </rPr>
      <t>’e çevirme emsali olarak 0,75 alınmıştır.</t>
    </r>
  </si>
  <si>
    <r>
      <t>Note:(1)Conversion factor from stere to m</t>
    </r>
    <r>
      <rPr>
        <vertAlign val="superscript"/>
        <sz val="7"/>
        <rFont val="Tahoma"/>
        <family val="2"/>
        <charset val="162"/>
      </rPr>
      <t>3</t>
    </r>
    <r>
      <rPr>
        <sz val="7"/>
        <rFont val="Tahoma"/>
        <family val="2"/>
        <charset val="162"/>
      </rPr>
      <t xml:space="preserve"> is taken as 0,75.</t>
    </r>
  </si>
  <si>
    <r>
      <t>(</t>
    </r>
    <r>
      <rPr>
        <b/>
        <sz val="8"/>
        <rFont val="Tahoma"/>
        <family val="2"/>
        <charset val="162"/>
      </rPr>
      <t>m³</t>
    </r>
    <r>
      <rPr>
        <sz val="8"/>
        <rFont val="Tahoma"/>
        <family val="2"/>
        <charset val="162"/>
      </rPr>
      <t xml:space="preserve"> )</t>
    </r>
  </si>
  <si>
    <t>Orman alanının işletme şekline göre il düzeyinde dağılımı, 2024</t>
  </si>
  <si>
    <t>Distribution of forest area at provincial level according to management type, 2024</t>
  </si>
  <si>
    <t>Orman servetinin işletme şekline göre il düzeyinde dağılımı, 2024</t>
  </si>
  <si>
    <t>Distribution of growing stock area at provincial level according to management type, 2024</t>
  </si>
  <si>
    <t>Cari artımın işletme şekline göre il düzeyinde dağılımı, 2024</t>
  </si>
  <si>
    <t>Distribution of forest increment at provincial level according to management type, 2024</t>
  </si>
  <si>
    <t>-</t>
  </si>
  <si>
    <r>
      <t>İBBS</t>
    </r>
    <r>
      <rPr>
        <b/>
        <vertAlign val="superscript"/>
        <sz val="8"/>
        <rFont val="Tahoma"/>
        <family val="2"/>
        <charset val="162"/>
      </rPr>
      <t>(1)</t>
    </r>
    <r>
      <rPr>
        <b/>
        <sz val="8"/>
        <rFont val="Tahoma"/>
        <family val="2"/>
        <charset val="162"/>
      </rPr>
      <t xml:space="preserve"> , 2005-3. Düzey         </t>
    </r>
    <r>
      <rPr>
        <sz val="8"/>
        <rFont val="Tahoma"/>
        <family val="2"/>
        <charset val="162"/>
      </rPr>
      <t>SR</t>
    </r>
    <r>
      <rPr>
        <b/>
        <vertAlign val="superscript"/>
        <sz val="8"/>
        <rFont val="Tahoma"/>
        <family val="2"/>
        <charset val="162"/>
      </rPr>
      <t>(1)</t>
    </r>
    <r>
      <rPr>
        <sz val="8"/>
        <rFont val="Tahoma"/>
        <family val="2"/>
        <charset val="162"/>
      </rPr>
      <t xml:space="preserve"> - Level 3</t>
    </r>
  </si>
  <si>
    <r>
      <t>İBBS</t>
    </r>
    <r>
      <rPr>
        <b/>
        <vertAlign val="superscript"/>
        <sz val="8"/>
        <rFont val="Tahoma"/>
        <family val="2"/>
        <charset val="162"/>
      </rPr>
      <t>(1)</t>
    </r>
    <r>
      <rPr>
        <b/>
        <sz val="8"/>
        <rFont val="Tahoma"/>
        <family val="2"/>
        <charset val="162"/>
      </rPr>
      <t xml:space="preserve"> , 2005-3. Düzey                </t>
    </r>
    <r>
      <rPr>
        <sz val="8"/>
        <rFont val="Tahoma"/>
        <family val="2"/>
        <charset val="162"/>
      </rPr>
      <t>SR</t>
    </r>
    <r>
      <rPr>
        <b/>
        <vertAlign val="superscript"/>
        <sz val="8"/>
        <rFont val="Tahoma"/>
        <family val="2"/>
        <charset val="162"/>
      </rPr>
      <t>(1)</t>
    </r>
    <r>
      <rPr>
        <sz val="8"/>
        <rFont val="Tahoma"/>
        <family val="2"/>
        <charset val="162"/>
      </rPr>
      <t xml:space="preserve"> - Level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</si>
</sst>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\ ###\ ###"/>
    <numFmt numFmtId="165" formatCode="###\ ###\ ###\ ###"/>
    <numFmt numFmtId="166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9"/>
      <name val="Tahoma"/>
      <family val="2"/>
      <charset val="162"/>
    </font>
    <font>
      <sz val="10"/>
      <name val="Tahoma"/>
      <family val="2"/>
      <charset val="162"/>
    </font>
    <font>
      <sz val="9"/>
      <name val="Tahoma"/>
      <family val="2"/>
      <charset val="162"/>
    </font>
    <font>
      <sz val="8"/>
      <name val="Tahoma"/>
      <family val="2"/>
      <charset val="162"/>
    </font>
    <font>
      <b/>
      <sz val="8"/>
      <name val="Tahoma"/>
      <family val="2"/>
      <charset val="162"/>
    </font>
    <font>
      <sz val="10"/>
      <name val="Arial Tur"/>
      <charset val="162"/>
    </font>
    <font>
      <sz val="7"/>
      <name val="Tahoma"/>
      <family val="2"/>
      <charset val="162"/>
    </font>
    <font>
      <b/>
      <vertAlign val="superscript"/>
      <sz val="8"/>
      <name val="Tahoma"/>
      <family val="2"/>
      <charset val="162"/>
    </font>
    <font>
      <sz val="8"/>
      <color theme="1"/>
      <name val="Tahoma"/>
      <family val="2"/>
      <charset val="162"/>
    </font>
    <font>
      <sz val="10"/>
      <name val="Arial"/>
      <family val="2"/>
      <charset val="162"/>
    </font>
    <font>
      <b/>
      <sz val="8"/>
      <color theme="1"/>
      <name val="Tahoma"/>
      <family val="2"/>
      <charset val="162"/>
    </font>
    <font>
      <b/>
      <sz val="7"/>
      <name val="Tahoma"/>
      <family val="2"/>
      <charset val="162"/>
    </font>
    <font>
      <sz val="7"/>
      <name val="Arial"/>
      <family val="2"/>
      <charset val="162"/>
    </font>
    <font>
      <b/>
      <sz val="8"/>
      <name val="Arial Tur"/>
      <charset val="162"/>
    </font>
    <font>
      <sz val="8"/>
      <color theme="1"/>
      <name val="Calibri"/>
      <family val="2"/>
      <scheme val="minor"/>
    </font>
    <font>
      <b/>
      <sz val="7"/>
      <color rgb="FF000000"/>
      <name val="Tahoma"/>
      <family val="2"/>
      <charset val="162"/>
    </font>
    <font>
      <b/>
      <vertAlign val="superscript"/>
      <sz val="7"/>
      <color rgb="FF000000"/>
      <name val="Tahoma"/>
      <family val="2"/>
      <charset val="162"/>
    </font>
    <font>
      <sz val="7"/>
      <color rgb="FF000000"/>
      <name val="Tahoma"/>
      <family val="2"/>
      <charset val="162"/>
    </font>
    <font>
      <vertAlign val="superscript"/>
      <sz val="7"/>
      <color rgb="FF000000"/>
      <name val="Tahoma"/>
      <family val="2"/>
      <charset val="162"/>
    </font>
    <font>
      <sz val="8"/>
      <name val="Calibri"/>
      <family val="2"/>
      <scheme val="minor"/>
    </font>
    <font>
      <b/>
      <vertAlign val="superscript"/>
      <sz val="7"/>
      <name val="Tahoma"/>
      <family val="2"/>
      <charset val="162"/>
    </font>
    <font>
      <vertAlign val="superscript"/>
      <sz val="7"/>
      <name val="Tahoma"/>
      <family val="2"/>
      <charset val="162"/>
    </font>
    <font>
      <sz val="9"/>
      <color rgb="FF202124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7" fillId="0" borderId="0"/>
    <xf numFmtId="0" fontId="11" fillId="0" borderId="0"/>
    <xf numFmtId="0" fontId="1" fillId="0" borderId="0"/>
  </cellStyleXfs>
  <cellXfs count="109">
    <xf numFmtId="0" fontId="0" fillId="0" borderId="0" xfId="0"/>
    <xf numFmtId="1" fontId="3" fillId="0" borderId="0" xfId="0" applyNumberFormat="1" applyFont="1" applyBorder="1" applyAlignment="1"/>
    <xf numFmtId="1" fontId="3" fillId="0" borderId="0" xfId="0" applyNumberFormat="1" applyFont="1" applyAlignment="1"/>
    <xf numFmtId="1" fontId="5" fillId="0" borderId="1" xfId="0" applyNumberFormat="1" applyFont="1" applyBorder="1" applyAlignment="1"/>
    <xf numFmtId="1" fontId="5" fillId="0" borderId="0" xfId="0" applyNumberFormat="1" applyFont="1" applyAlignment="1"/>
    <xf numFmtId="1" fontId="5" fillId="0" borderId="0" xfId="0" applyNumberFormat="1" applyFont="1" applyBorder="1"/>
    <xf numFmtId="1" fontId="3" fillId="0" borderId="0" xfId="0" applyNumberFormat="1" applyFont="1"/>
    <xf numFmtId="1" fontId="3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left" vertical="center"/>
    </xf>
    <xf numFmtId="0" fontId="6" fillId="0" borderId="1" xfId="2" applyFont="1" applyFill="1" applyBorder="1" applyAlignment="1">
      <alignment horizontal="left" vertical="center" wrapText="1"/>
    </xf>
    <xf numFmtId="1" fontId="4" fillId="0" borderId="0" xfId="0" applyNumberFormat="1" applyFont="1" applyFill="1" applyBorder="1" applyAlignment="1">
      <alignment horizontal="left" vertical="center"/>
    </xf>
    <xf numFmtId="0" fontId="6" fillId="0" borderId="0" xfId="2" applyFont="1" applyFill="1" applyBorder="1" applyAlignment="1">
      <alignment horizontal="left" vertical="center" wrapText="1"/>
    </xf>
    <xf numFmtId="1" fontId="5" fillId="2" borderId="0" xfId="0" applyNumberFormat="1" applyFont="1" applyFill="1" applyBorder="1" applyAlignment="1">
      <alignment horizontal="right" vertical="center"/>
    </xf>
    <xf numFmtId="164" fontId="6" fillId="0" borderId="0" xfId="0" applyNumberFormat="1" applyFont="1" applyFill="1" applyBorder="1" applyAlignment="1">
      <alignment vertical="center" shrinkToFit="1"/>
    </xf>
    <xf numFmtId="164" fontId="6" fillId="0" borderId="0" xfId="0" applyNumberFormat="1" applyFont="1" applyFill="1" applyBorder="1" applyAlignment="1">
      <alignment vertical="center"/>
    </xf>
    <xf numFmtId="164" fontId="6" fillId="0" borderId="4" xfId="0" applyNumberFormat="1" applyFont="1" applyFill="1" applyBorder="1" applyAlignment="1">
      <alignment vertical="center" shrinkToFit="1"/>
    </xf>
    <xf numFmtId="0" fontId="13" fillId="0" borderId="0" xfId="1" applyFont="1" applyFill="1" applyBorder="1" applyAlignment="1">
      <alignment horizontal="left"/>
    </xf>
    <xf numFmtId="0" fontId="14" fillId="0" borderId="0" xfId="0" applyFont="1" applyBorder="1" applyAlignment="1"/>
    <xf numFmtId="0" fontId="13" fillId="0" borderId="0" xfId="1" applyFont="1" applyFill="1" applyBorder="1" applyAlignment="1"/>
    <xf numFmtId="0" fontId="8" fillId="0" borderId="0" xfId="2" applyFont="1" applyFill="1" applyBorder="1" applyAlignment="1"/>
    <xf numFmtId="1" fontId="6" fillId="0" borderId="2" xfId="0" applyNumberFormat="1" applyFont="1" applyBorder="1" applyAlignment="1">
      <alignment horizontal="right"/>
    </xf>
    <xf numFmtId="1" fontId="8" fillId="0" borderId="0" xfId="0" applyNumberFormat="1" applyFont="1" applyAlignment="1"/>
    <xf numFmtId="1" fontId="4" fillId="2" borderId="0" xfId="0" applyNumberFormat="1" applyFont="1" applyFill="1" applyBorder="1" applyAlignment="1">
      <alignment horizontal="left" vertical="center"/>
    </xf>
    <xf numFmtId="1" fontId="6" fillId="0" borderId="0" xfId="0" applyNumberFormat="1" applyFont="1" applyBorder="1" applyAlignment="1"/>
    <xf numFmtId="164" fontId="6" fillId="0" borderId="0" xfId="0" applyNumberFormat="1" applyFont="1" applyFill="1" applyBorder="1" applyAlignment="1">
      <alignment horizontal="left" vertical="center" shrinkToFit="1"/>
    </xf>
    <xf numFmtId="164" fontId="5" fillId="0" borderId="4" xfId="0" applyNumberFormat="1" applyFont="1" applyBorder="1"/>
    <xf numFmtId="164" fontId="6" fillId="0" borderId="2" xfId="2" applyNumberFormat="1" applyFont="1" applyFill="1" applyBorder="1" applyAlignment="1">
      <alignment horizontal="left" vertical="center" wrapText="1"/>
    </xf>
    <xf numFmtId="1" fontId="2" fillId="2" borderId="0" xfId="0" applyNumberFormat="1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left" vertical="center"/>
    </xf>
    <xf numFmtId="1" fontId="3" fillId="2" borderId="0" xfId="0" applyNumberFormat="1" applyFont="1" applyFill="1" applyBorder="1" applyAlignment="1"/>
    <xf numFmtId="164" fontId="4" fillId="2" borderId="0" xfId="0" applyNumberFormat="1" applyFont="1" applyFill="1" applyBorder="1" applyAlignment="1">
      <alignment horizontal="left" vertical="center"/>
    </xf>
    <xf numFmtId="1" fontId="5" fillId="2" borderId="0" xfId="0" applyNumberFormat="1" applyFont="1" applyFill="1" applyBorder="1" applyAlignment="1">
      <alignment horizontal="right"/>
    </xf>
    <xf numFmtId="1" fontId="5" fillId="2" borderId="1" xfId="0" applyNumberFormat="1" applyFont="1" applyFill="1" applyBorder="1" applyAlignment="1"/>
    <xf numFmtId="0" fontId="6" fillId="2" borderId="1" xfId="2" applyFont="1" applyFill="1" applyBorder="1" applyAlignment="1">
      <alignment horizontal="left" vertical="center" wrapText="1"/>
    </xf>
    <xf numFmtId="1" fontId="5" fillId="2" borderId="0" xfId="0" applyNumberFormat="1" applyFont="1" applyFill="1" applyAlignment="1"/>
    <xf numFmtId="0" fontId="6" fillId="2" borderId="0" xfId="2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left" vertical="center" wrapText="1"/>
    </xf>
    <xf numFmtId="164" fontId="12" fillId="2" borderId="0" xfId="0" applyNumberFormat="1" applyFont="1" applyFill="1" applyBorder="1" applyAlignment="1">
      <alignment horizontal="right" vertical="center" wrapText="1"/>
    </xf>
    <xf numFmtId="164" fontId="6" fillId="2" borderId="0" xfId="0" applyNumberFormat="1" applyFont="1" applyFill="1" applyBorder="1" applyAlignment="1">
      <alignment horizontal="right" vertical="center"/>
    </xf>
    <xf numFmtId="164" fontId="6" fillId="2" borderId="2" xfId="0" applyNumberFormat="1" applyFont="1" applyFill="1" applyBorder="1" applyAlignment="1">
      <alignment horizontal="right" vertical="center" wrapText="1"/>
    </xf>
    <xf numFmtId="1" fontId="10" fillId="2" borderId="5" xfId="0" applyNumberFormat="1" applyFont="1" applyFill="1" applyBorder="1" applyAlignment="1">
      <alignment horizontal="right" vertical="center" wrapText="1"/>
    </xf>
    <xf numFmtId="0" fontId="6" fillId="2" borderId="0" xfId="2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vertical="center" shrinkToFit="1"/>
    </xf>
    <xf numFmtId="164" fontId="5" fillId="2" borderId="0" xfId="0" applyNumberFormat="1" applyFont="1" applyFill="1" applyBorder="1" applyAlignment="1">
      <alignment horizontal="right"/>
    </xf>
    <xf numFmtId="1" fontId="5" fillId="2" borderId="0" xfId="0" applyNumberFormat="1" applyFont="1" applyFill="1" applyBorder="1"/>
    <xf numFmtId="1" fontId="3" fillId="2" borderId="0" xfId="0" applyNumberFormat="1" applyFont="1" applyFill="1" applyBorder="1" applyAlignment="1">
      <alignment horizontal="left"/>
    </xf>
    <xf numFmtId="0" fontId="6" fillId="2" borderId="0" xfId="0" applyFont="1" applyFill="1" applyBorder="1" applyAlignment="1">
      <alignment vertical="center"/>
    </xf>
    <xf numFmtId="1" fontId="3" fillId="2" borderId="0" xfId="0" applyNumberFormat="1" applyFont="1" applyFill="1"/>
    <xf numFmtId="0" fontId="6" fillId="2" borderId="4" xfId="0" applyFont="1" applyFill="1" applyBorder="1" applyAlignment="1">
      <alignment vertical="center" shrinkToFit="1"/>
    </xf>
    <xf numFmtId="164" fontId="5" fillId="2" borderId="4" xfId="0" applyNumberFormat="1" applyFont="1" applyFill="1" applyBorder="1" applyAlignment="1">
      <alignment horizontal="right"/>
    </xf>
    <xf numFmtId="164" fontId="5" fillId="2" borderId="4" xfId="0" applyNumberFormat="1" applyFont="1" applyFill="1" applyBorder="1" applyAlignment="1">
      <alignment wrapText="1"/>
    </xf>
    <xf numFmtId="164" fontId="5" fillId="2" borderId="4" xfId="0" applyNumberFormat="1" applyFont="1" applyFill="1" applyBorder="1" applyAlignment="1">
      <alignment horizontal="right" wrapText="1"/>
    </xf>
    <xf numFmtId="0" fontId="17" fillId="2" borderId="0" xfId="0" applyFont="1" applyFill="1" applyAlignment="1">
      <alignment vertical="top"/>
    </xf>
    <xf numFmtId="0" fontId="13" fillId="2" borderId="0" xfId="0" applyFont="1" applyFill="1" applyBorder="1" applyAlignment="1">
      <alignment vertical="top" wrapText="1"/>
    </xf>
    <xf numFmtId="0" fontId="8" fillId="2" borderId="0" xfId="0" applyFont="1" applyFill="1" applyBorder="1" applyAlignment="1">
      <alignment horizontal="left" vertical="top" wrapText="1"/>
    </xf>
    <xf numFmtId="0" fontId="19" fillId="2" borderId="0" xfId="0" applyFont="1" applyFill="1" applyAlignment="1">
      <alignment horizontal="left" vertical="top"/>
    </xf>
    <xf numFmtId="0" fontId="13" fillId="2" borderId="0" xfId="1" applyFont="1" applyFill="1" applyBorder="1" applyAlignment="1">
      <alignment vertical="top"/>
    </xf>
    <xf numFmtId="0" fontId="8" fillId="2" borderId="0" xfId="2" applyFont="1" applyFill="1" applyBorder="1" applyAlignment="1">
      <alignment vertical="top"/>
    </xf>
    <xf numFmtId="164" fontId="8" fillId="2" borderId="0" xfId="2" applyNumberFormat="1" applyFont="1" applyFill="1" applyBorder="1" applyAlignment="1">
      <alignment vertical="top"/>
    </xf>
    <xf numFmtId="1" fontId="8" fillId="2" borderId="0" xfId="0" applyNumberFormat="1" applyFont="1" applyFill="1" applyBorder="1" applyAlignment="1">
      <alignment horizontal="left" vertical="top"/>
    </xf>
    <xf numFmtId="164" fontId="3" fillId="2" borderId="0" xfId="0" applyNumberFormat="1" applyFont="1" applyFill="1" applyAlignment="1">
      <alignment vertical="top"/>
    </xf>
    <xf numFmtId="1" fontId="3" fillId="2" borderId="0" xfId="0" applyNumberFormat="1" applyFont="1" applyFill="1" applyAlignment="1">
      <alignment vertical="top"/>
    </xf>
    <xf numFmtId="1" fontId="8" fillId="2" borderId="0" xfId="0" applyNumberFormat="1" applyFont="1" applyFill="1" applyAlignment="1">
      <alignment vertical="top"/>
    </xf>
    <xf numFmtId="164" fontId="3" fillId="2" borderId="0" xfId="0" applyNumberFormat="1" applyFont="1" applyFill="1"/>
    <xf numFmtId="164" fontId="3" fillId="2" borderId="0" xfId="0" applyNumberFormat="1" applyFont="1" applyFill="1" applyAlignment="1"/>
    <xf numFmtId="1" fontId="3" fillId="2" borderId="1" xfId="0" applyNumberFormat="1" applyFont="1" applyFill="1" applyBorder="1" applyAlignment="1"/>
    <xf numFmtId="164" fontId="6" fillId="2" borderId="0" xfId="0" applyNumberFormat="1" applyFont="1" applyFill="1" applyBorder="1" applyAlignment="1">
      <alignment vertical="center"/>
    </xf>
    <xf numFmtId="0" fontId="21" fillId="2" borderId="0" xfId="0" applyFont="1" applyFill="1" applyBorder="1" applyAlignment="1">
      <alignment horizontal="left" vertical="center" wrapText="1"/>
    </xf>
    <xf numFmtId="164" fontId="6" fillId="2" borderId="0" xfId="0" applyNumberFormat="1" applyFont="1" applyFill="1" applyBorder="1" applyAlignment="1">
      <alignment horizontal="center" vertical="center" wrapText="1"/>
    </xf>
    <xf numFmtId="164" fontId="6" fillId="2" borderId="0" xfId="0" applyNumberFormat="1" applyFont="1" applyFill="1" applyBorder="1" applyAlignment="1">
      <alignment horizontal="center" vertical="center"/>
    </xf>
    <xf numFmtId="1" fontId="6" fillId="2" borderId="0" xfId="0" applyNumberFormat="1" applyFont="1" applyFill="1" applyBorder="1" applyAlignment="1">
      <alignment vertical="center"/>
    </xf>
    <xf numFmtId="1" fontId="5" fillId="2" borderId="5" xfId="0" applyNumberFormat="1" applyFont="1" applyFill="1" applyBorder="1" applyAlignment="1">
      <alignment horizontal="center" vertical="center" wrapText="1"/>
    </xf>
    <xf numFmtId="1" fontId="5" fillId="2" borderId="5" xfId="0" applyNumberFormat="1" applyFont="1" applyFill="1" applyBorder="1" applyAlignment="1">
      <alignment horizontal="right" vertical="center" wrapText="1"/>
    </xf>
    <xf numFmtId="164" fontId="6" fillId="2" borderId="0" xfId="0" applyNumberFormat="1" applyFont="1" applyFill="1" applyBorder="1" applyAlignment="1">
      <alignment horizontal="right"/>
    </xf>
    <xf numFmtId="166" fontId="6" fillId="2" borderId="0" xfId="0" applyNumberFormat="1" applyFont="1" applyFill="1" applyBorder="1" applyAlignment="1">
      <alignment horizontal="right"/>
    </xf>
    <xf numFmtId="1" fontId="3" fillId="2" borderId="0" xfId="0" applyNumberFormat="1" applyFont="1" applyFill="1" applyBorder="1"/>
    <xf numFmtId="0" fontId="13" fillId="2" borderId="0" xfId="0" applyFont="1" applyFill="1" applyAlignment="1">
      <alignment vertical="center"/>
    </xf>
    <xf numFmtId="0" fontId="13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/>
    </xf>
    <xf numFmtId="0" fontId="13" fillId="2" borderId="0" xfId="1" applyFont="1" applyFill="1" applyBorder="1" applyAlignment="1">
      <alignment vertical="center"/>
    </xf>
    <xf numFmtId="0" fontId="8" fillId="2" borderId="0" xfId="2" applyFont="1" applyFill="1" applyBorder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1" fontId="8" fillId="2" borderId="0" xfId="0" applyNumberFormat="1" applyFont="1" applyFill="1" applyBorder="1" applyAlignment="1">
      <alignment horizontal="left" vertical="center"/>
    </xf>
    <xf numFmtId="164" fontId="3" fillId="2" borderId="0" xfId="0" applyNumberFormat="1" applyFont="1" applyFill="1" applyAlignment="1">
      <alignment vertical="center"/>
    </xf>
    <xf numFmtId="0" fontId="24" fillId="0" borderId="0" xfId="0" applyFont="1" applyAlignment="1">
      <alignment horizontal="left" vertical="center"/>
    </xf>
    <xf numFmtId="1" fontId="4" fillId="2" borderId="4" xfId="0" applyNumberFormat="1" applyFont="1" applyFill="1" applyBorder="1" applyAlignment="1">
      <alignment vertical="center"/>
    </xf>
    <xf numFmtId="1" fontId="4" fillId="2" borderId="0" xfId="0" applyNumberFormat="1" applyFont="1" applyFill="1" applyBorder="1" applyAlignment="1">
      <alignment vertical="center"/>
    </xf>
    <xf numFmtId="164" fontId="5" fillId="0" borderId="4" xfId="0" applyNumberFormat="1" applyFont="1" applyBorder="1" applyAlignment="1">
      <alignment horizontal="right"/>
    </xf>
    <xf numFmtId="164" fontId="6" fillId="2" borderId="2" xfId="0" applyNumberFormat="1" applyFont="1" applyFill="1" applyBorder="1"/>
    <xf numFmtId="164" fontId="5" fillId="2" borderId="0" xfId="0" applyNumberFormat="1" applyFont="1" applyFill="1" applyBorder="1"/>
    <xf numFmtId="164" fontId="5" fillId="2" borderId="4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right"/>
    </xf>
    <xf numFmtId="165" fontId="6" fillId="0" borderId="0" xfId="0" applyNumberFormat="1" applyFont="1" applyAlignment="1"/>
    <xf numFmtId="0" fontId="12" fillId="0" borderId="5" xfId="0" applyFont="1" applyBorder="1" applyAlignment="1">
      <alignment horizontal="right" vertical="center" wrapText="1"/>
    </xf>
    <xf numFmtId="1" fontId="5" fillId="0" borderId="5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wrapText="1"/>
    </xf>
    <xf numFmtId="164" fontId="5" fillId="2" borderId="0" xfId="0" applyNumberFormat="1" applyFont="1" applyFill="1" applyAlignment="1">
      <alignment horizontal="right" wrapText="1"/>
    </xf>
    <xf numFmtId="165" fontId="6" fillId="2" borderId="0" xfId="0" applyNumberFormat="1" applyFont="1" applyFill="1" applyAlignment="1">
      <alignment horizontal="right"/>
    </xf>
    <xf numFmtId="164" fontId="5" fillId="0" borderId="0" xfId="0" applyNumberFormat="1" applyFont="1" applyAlignment="1">
      <alignment horizontal="right" wrapText="1"/>
    </xf>
    <xf numFmtId="1" fontId="6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" fontId="8" fillId="0" borderId="0" xfId="0" applyNumberFormat="1" applyFont="1" applyBorder="1" applyAlignment="1">
      <alignment horizontal="right"/>
    </xf>
    <xf numFmtId="0" fontId="6" fillId="2" borderId="0" xfId="2" applyFont="1" applyFill="1" applyAlignment="1">
      <alignment horizontal="left" vertical="center" wrapText="1"/>
    </xf>
    <xf numFmtId="164" fontId="6" fillId="2" borderId="3" xfId="0" applyNumberFormat="1" applyFont="1" applyFill="1" applyBorder="1" applyAlignment="1">
      <alignment horizontal="center" vertical="center"/>
    </xf>
    <xf numFmtId="0" fontId="6" fillId="2" borderId="5" xfId="2" applyFont="1" applyFill="1" applyBorder="1" applyAlignment="1">
      <alignment horizontal="left" vertical="center" wrapText="1"/>
    </xf>
    <xf numFmtId="164" fontId="6" fillId="2" borderId="3" xfId="0" applyNumberFormat="1" applyFont="1" applyFill="1" applyBorder="1" applyAlignment="1">
      <alignment horizontal="right" vertical="center"/>
    </xf>
  </cellXfs>
  <cellStyles count="5">
    <cellStyle name="Normal" xfId="0" builtinId="0"/>
    <cellStyle name="Normal 2" xfId="3" xr:uid="{00000000-0005-0000-0000-000001000000}"/>
    <cellStyle name="Normal 5" xfId="4" xr:uid="{6F6DDA4A-CB9B-4B9F-888E-D2A00FBFD677}"/>
    <cellStyle name="Normal_2004 sonu itibariyle faaliyetler" xfId="2" xr:uid="{00000000-0005-0000-0000-000002000000}"/>
    <cellStyle name="Normal_BEŞ YILLIK KALKINMA PLANI" xfId="1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showGridLines="0" tabSelected="1" workbookViewId="0">
      <selection activeCell="C7" sqref="C7"/>
    </sheetView>
  </sheetViews>
  <sheetFormatPr defaultRowHeight="12.75" x14ac:dyDescent="0.2"/>
  <cols>
    <col min="1" max="1" width="7.5703125" style="6" customWidth="1"/>
    <col min="2" max="2" width="13.85546875" style="6" customWidth="1"/>
    <col min="3" max="3" width="17.42578125" style="6" customWidth="1"/>
    <col min="4" max="4" width="16" style="6" customWidth="1"/>
    <col min="5" max="5" width="15.5703125" style="2" customWidth="1"/>
    <col min="6" max="171" width="9.140625" style="6"/>
    <col min="172" max="172" width="5.140625" style="6" customWidth="1"/>
    <col min="173" max="173" width="1.85546875" style="6" customWidth="1"/>
    <col min="174" max="185" width="8.28515625" style="6" customWidth="1"/>
    <col min="186" max="186" width="6.28515625" style="6" bestFit="1" customWidth="1"/>
    <col min="187" max="187" width="8" style="6" customWidth="1"/>
    <col min="188" max="188" width="8.28515625" style="6" customWidth="1"/>
    <col min="189" max="427" width="9.140625" style="6"/>
    <col min="428" max="428" width="5.140625" style="6" customWidth="1"/>
    <col min="429" max="429" width="1.85546875" style="6" customWidth="1"/>
    <col min="430" max="441" width="8.28515625" style="6" customWidth="1"/>
    <col min="442" max="442" width="6.28515625" style="6" bestFit="1" customWidth="1"/>
    <col min="443" max="443" width="8" style="6" customWidth="1"/>
    <col min="444" max="444" width="8.28515625" style="6" customWidth="1"/>
    <col min="445" max="683" width="9.140625" style="6"/>
    <col min="684" max="684" width="5.140625" style="6" customWidth="1"/>
    <col min="685" max="685" width="1.85546875" style="6" customWidth="1"/>
    <col min="686" max="697" width="8.28515625" style="6" customWidth="1"/>
    <col min="698" max="698" width="6.28515625" style="6" bestFit="1" customWidth="1"/>
    <col min="699" max="699" width="8" style="6" customWidth="1"/>
    <col min="700" max="700" width="8.28515625" style="6" customWidth="1"/>
    <col min="701" max="939" width="9.140625" style="6"/>
    <col min="940" max="940" width="5.140625" style="6" customWidth="1"/>
    <col min="941" max="941" width="1.85546875" style="6" customWidth="1"/>
    <col min="942" max="953" width="8.28515625" style="6" customWidth="1"/>
    <col min="954" max="954" width="6.28515625" style="6" bestFit="1" customWidth="1"/>
    <col min="955" max="955" width="8" style="6" customWidth="1"/>
    <col min="956" max="956" width="8.28515625" style="6" customWidth="1"/>
    <col min="957" max="1195" width="9.140625" style="6"/>
    <col min="1196" max="1196" width="5.140625" style="6" customWidth="1"/>
    <col min="1197" max="1197" width="1.85546875" style="6" customWidth="1"/>
    <col min="1198" max="1209" width="8.28515625" style="6" customWidth="1"/>
    <col min="1210" max="1210" width="6.28515625" style="6" bestFit="1" customWidth="1"/>
    <col min="1211" max="1211" width="8" style="6" customWidth="1"/>
    <col min="1212" max="1212" width="8.28515625" style="6" customWidth="1"/>
    <col min="1213" max="1451" width="9.140625" style="6"/>
    <col min="1452" max="1452" width="5.140625" style="6" customWidth="1"/>
    <col min="1453" max="1453" width="1.85546875" style="6" customWidth="1"/>
    <col min="1454" max="1465" width="8.28515625" style="6" customWidth="1"/>
    <col min="1466" max="1466" width="6.28515625" style="6" bestFit="1" customWidth="1"/>
    <col min="1467" max="1467" width="8" style="6" customWidth="1"/>
    <col min="1468" max="1468" width="8.28515625" style="6" customWidth="1"/>
    <col min="1469" max="1707" width="9.140625" style="6"/>
    <col min="1708" max="1708" width="5.140625" style="6" customWidth="1"/>
    <col min="1709" max="1709" width="1.85546875" style="6" customWidth="1"/>
    <col min="1710" max="1721" width="8.28515625" style="6" customWidth="1"/>
    <col min="1722" max="1722" width="6.28515625" style="6" bestFit="1" customWidth="1"/>
    <col min="1723" max="1723" width="8" style="6" customWidth="1"/>
    <col min="1724" max="1724" width="8.28515625" style="6" customWidth="1"/>
    <col min="1725" max="1963" width="9.140625" style="6"/>
    <col min="1964" max="1964" width="5.140625" style="6" customWidth="1"/>
    <col min="1965" max="1965" width="1.85546875" style="6" customWidth="1"/>
    <col min="1966" max="1977" width="8.28515625" style="6" customWidth="1"/>
    <col min="1978" max="1978" width="6.28515625" style="6" bestFit="1" customWidth="1"/>
    <col min="1979" max="1979" width="8" style="6" customWidth="1"/>
    <col min="1980" max="1980" width="8.28515625" style="6" customWidth="1"/>
    <col min="1981" max="2219" width="9.140625" style="6"/>
    <col min="2220" max="2220" width="5.140625" style="6" customWidth="1"/>
    <col min="2221" max="2221" width="1.85546875" style="6" customWidth="1"/>
    <col min="2222" max="2233" width="8.28515625" style="6" customWidth="1"/>
    <col min="2234" max="2234" width="6.28515625" style="6" bestFit="1" customWidth="1"/>
    <col min="2235" max="2235" width="8" style="6" customWidth="1"/>
    <col min="2236" max="2236" width="8.28515625" style="6" customWidth="1"/>
    <col min="2237" max="2475" width="9.140625" style="6"/>
    <col min="2476" max="2476" width="5.140625" style="6" customWidth="1"/>
    <col min="2477" max="2477" width="1.85546875" style="6" customWidth="1"/>
    <col min="2478" max="2489" width="8.28515625" style="6" customWidth="1"/>
    <col min="2490" max="2490" width="6.28515625" style="6" bestFit="1" customWidth="1"/>
    <col min="2491" max="2491" width="8" style="6" customWidth="1"/>
    <col min="2492" max="2492" width="8.28515625" style="6" customWidth="1"/>
    <col min="2493" max="2731" width="9.140625" style="6"/>
    <col min="2732" max="2732" width="5.140625" style="6" customWidth="1"/>
    <col min="2733" max="2733" width="1.85546875" style="6" customWidth="1"/>
    <col min="2734" max="2745" width="8.28515625" style="6" customWidth="1"/>
    <col min="2746" max="2746" width="6.28515625" style="6" bestFit="1" customWidth="1"/>
    <col min="2747" max="2747" width="8" style="6" customWidth="1"/>
    <col min="2748" max="2748" width="8.28515625" style="6" customWidth="1"/>
    <col min="2749" max="2987" width="9.140625" style="6"/>
    <col min="2988" max="2988" width="5.140625" style="6" customWidth="1"/>
    <col min="2989" max="2989" width="1.85546875" style="6" customWidth="1"/>
    <col min="2990" max="3001" width="8.28515625" style="6" customWidth="1"/>
    <col min="3002" max="3002" width="6.28515625" style="6" bestFit="1" customWidth="1"/>
    <col min="3003" max="3003" width="8" style="6" customWidth="1"/>
    <col min="3004" max="3004" width="8.28515625" style="6" customWidth="1"/>
    <col min="3005" max="3243" width="9.140625" style="6"/>
    <col min="3244" max="3244" width="5.140625" style="6" customWidth="1"/>
    <col min="3245" max="3245" width="1.85546875" style="6" customWidth="1"/>
    <col min="3246" max="3257" width="8.28515625" style="6" customWidth="1"/>
    <col min="3258" max="3258" width="6.28515625" style="6" bestFit="1" customWidth="1"/>
    <col min="3259" max="3259" width="8" style="6" customWidth="1"/>
    <col min="3260" max="3260" width="8.28515625" style="6" customWidth="1"/>
    <col min="3261" max="3499" width="9.140625" style="6"/>
    <col min="3500" max="3500" width="5.140625" style="6" customWidth="1"/>
    <col min="3501" max="3501" width="1.85546875" style="6" customWidth="1"/>
    <col min="3502" max="3513" width="8.28515625" style="6" customWidth="1"/>
    <col min="3514" max="3514" width="6.28515625" style="6" bestFit="1" customWidth="1"/>
    <col min="3515" max="3515" width="8" style="6" customWidth="1"/>
    <col min="3516" max="3516" width="8.28515625" style="6" customWidth="1"/>
    <col min="3517" max="3755" width="9.140625" style="6"/>
    <col min="3756" max="3756" width="5.140625" style="6" customWidth="1"/>
    <col min="3757" max="3757" width="1.85546875" style="6" customWidth="1"/>
    <col min="3758" max="3769" width="8.28515625" style="6" customWidth="1"/>
    <col min="3770" max="3770" width="6.28515625" style="6" bestFit="1" customWidth="1"/>
    <col min="3771" max="3771" width="8" style="6" customWidth="1"/>
    <col min="3772" max="3772" width="8.28515625" style="6" customWidth="1"/>
    <col min="3773" max="4011" width="9.140625" style="6"/>
    <col min="4012" max="4012" width="5.140625" style="6" customWidth="1"/>
    <col min="4013" max="4013" width="1.85546875" style="6" customWidth="1"/>
    <col min="4014" max="4025" width="8.28515625" style="6" customWidth="1"/>
    <col min="4026" max="4026" width="6.28515625" style="6" bestFit="1" customWidth="1"/>
    <col min="4027" max="4027" width="8" style="6" customWidth="1"/>
    <col min="4028" max="4028" width="8.28515625" style="6" customWidth="1"/>
    <col min="4029" max="4267" width="9.140625" style="6"/>
    <col min="4268" max="4268" width="5.140625" style="6" customWidth="1"/>
    <col min="4269" max="4269" width="1.85546875" style="6" customWidth="1"/>
    <col min="4270" max="4281" width="8.28515625" style="6" customWidth="1"/>
    <col min="4282" max="4282" width="6.28515625" style="6" bestFit="1" customWidth="1"/>
    <col min="4283" max="4283" width="8" style="6" customWidth="1"/>
    <col min="4284" max="4284" width="8.28515625" style="6" customWidth="1"/>
    <col min="4285" max="4523" width="9.140625" style="6"/>
    <col min="4524" max="4524" width="5.140625" style="6" customWidth="1"/>
    <col min="4525" max="4525" width="1.85546875" style="6" customWidth="1"/>
    <col min="4526" max="4537" width="8.28515625" style="6" customWidth="1"/>
    <col min="4538" max="4538" width="6.28515625" style="6" bestFit="1" customWidth="1"/>
    <col min="4539" max="4539" width="8" style="6" customWidth="1"/>
    <col min="4540" max="4540" width="8.28515625" style="6" customWidth="1"/>
    <col min="4541" max="4779" width="9.140625" style="6"/>
    <col min="4780" max="4780" width="5.140625" style="6" customWidth="1"/>
    <col min="4781" max="4781" width="1.85546875" style="6" customWidth="1"/>
    <col min="4782" max="4793" width="8.28515625" style="6" customWidth="1"/>
    <col min="4794" max="4794" width="6.28515625" style="6" bestFit="1" customWidth="1"/>
    <col min="4795" max="4795" width="8" style="6" customWidth="1"/>
    <col min="4796" max="4796" width="8.28515625" style="6" customWidth="1"/>
    <col min="4797" max="5035" width="9.140625" style="6"/>
    <col min="5036" max="5036" width="5.140625" style="6" customWidth="1"/>
    <col min="5037" max="5037" width="1.85546875" style="6" customWidth="1"/>
    <col min="5038" max="5049" width="8.28515625" style="6" customWidth="1"/>
    <col min="5050" max="5050" width="6.28515625" style="6" bestFit="1" customWidth="1"/>
    <col min="5051" max="5051" width="8" style="6" customWidth="1"/>
    <col min="5052" max="5052" width="8.28515625" style="6" customWidth="1"/>
    <col min="5053" max="5291" width="9.140625" style="6"/>
    <col min="5292" max="5292" width="5.140625" style="6" customWidth="1"/>
    <col min="5293" max="5293" width="1.85546875" style="6" customWidth="1"/>
    <col min="5294" max="5305" width="8.28515625" style="6" customWidth="1"/>
    <col min="5306" max="5306" width="6.28515625" style="6" bestFit="1" customWidth="1"/>
    <col min="5307" max="5307" width="8" style="6" customWidth="1"/>
    <col min="5308" max="5308" width="8.28515625" style="6" customWidth="1"/>
    <col min="5309" max="5547" width="9.140625" style="6"/>
    <col min="5548" max="5548" width="5.140625" style="6" customWidth="1"/>
    <col min="5549" max="5549" width="1.85546875" style="6" customWidth="1"/>
    <col min="5550" max="5561" width="8.28515625" style="6" customWidth="1"/>
    <col min="5562" max="5562" width="6.28515625" style="6" bestFit="1" customWidth="1"/>
    <col min="5563" max="5563" width="8" style="6" customWidth="1"/>
    <col min="5564" max="5564" width="8.28515625" style="6" customWidth="1"/>
    <col min="5565" max="5803" width="9.140625" style="6"/>
    <col min="5804" max="5804" width="5.140625" style="6" customWidth="1"/>
    <col min="5805" max="5805" width="1.85546875" style="6" customWidth="1"/>
    <col min="5806" max="5817" width="8.28515625" style="6" customWidth="1"/>
    <col min="5818" max="5818" width="6.28515625" style="6" bestFit="1" customWidth="1"/>
    <col min="5819" max="5819" width="8" style="6" customWidth="1"/>
    <col min="5820" max="5820" width="8.28515625" style="6" customWidth="1"/>
    <col min="5821" max="6059" width="9.140625" style="6"/>
    <col min="6060" max="6060" width="5.140625" style="6" customWidth="1"/>
    <col min="6061" max="6061" width="1.85546875" style="6" customWidth="1"/>
    <col min="6062" max="6073" width="8.28515625" style="6" customWidth="1"/>
    <col min="6074" max="6074" width="6.28515625" style="6" bestFit="1" customWidth="1"/>
    <col min="6075" max="6075" width="8" style="6" customWidth="1"/>
    <col min="6076" max="6076" width="8.28515625" style="6" customWidth="1"/>
    <col min="6077" max="6315" width="9.140625" style="6"/>
    <col min="6316" max="6316" width="5.140625" style="6" customWidth="1"/>
    <col min="6317" max="6317" width="1.85546875" style="6" customWidth="1"/>
    <col min="6318" max="6329" width="8.28515625" style="6" customWidth="1"/>
    <col min="6330" max="6330" width="6.28515625" style="6" bestFit="1" customWidth="1"/>
    <col min="6331" max="6331" width="8" style="6" customWidth="1"/>
    <col min="6332" max="6332" width="8.28515625" style="6" customWidth="1"/>
    <col min="6333" max="6571" width="9.140625" style="6"/>
    <col min="6572" max="6572" width="5.140625" style="6" customWidth="1"/>
    <col min="6573" max="6573" width="1.85546875" style="6" customWidth="1"/>
    <col min="6574" max="6585" width="8.28515625" style="6" customWidth="1"/>
    <col min="6586" max="6586" width="6.28515625" style="6" bestFit="1" customWidth="1"/>
    <col min="6587" max="6587" width="8" style="6" customWidth="1"/>
    <col min="6588" max="6588" width="8.28515625" style="6" customWidth="1"/>
    <col min="6589" max="6827" width="9.140625" style="6"/>
    <col min="6828" max="6828" width="5.140625" style="6" customWidth="1"/>
    <col min="6829" max="6829" width="1.85546875" style="6" customWidth="1"/>
    <col min="6830" max="6841" width="8.28515625" style="6" customWidth="1"/>
    <col min="6842" max="6842" width="6.28515625" style="6" bestFit="1" customWidth="1"/>
    <col min="6843" max="6843" width="8" style="6" customWidth="1"/>
    <col min="6844" max="6844" width="8.28515625" style="6" customWidth="1"/>
    <col min="6845" max="7083" width="9.140625" style="6"/>
    <col min="7084" max="7084" width="5.140625" style="6" customWidth="1"/>
    <col min="7085" max="7085" width="1.85546875" style="6" customWidth="1"/>
    <col min="7086" max="7097" width="8.28515625" style="6" customWidth="1"/>
    <col min="7098" max="7098" width="6.28515625" style="6" bestFit="1" customWidth="1"/>
    <col min="7099" max="7099" width="8" style="6" customWidth="1"/>
    <col min="7100" max="7100" width="8.28515625" style="6" customWidth="1"/>
    <col min="7101" max="7339" width="9.140625" style="6"/>
    <col min="7340" max="7340" width="5.140625" style="6" customWidth="1"/>
    <col min="7341" max="7341" width="1.85546875" style="6" customWidth="1"/>
    <col min="7342" max="7353" width="8.28515625" style="6" customWidth="1"/>
    <col min="7354" max="7354" width="6.28515625" style="6" bestFit="1" customWidth="1"/>
    <col min="7355" max="7355" width="8" style="6" customWidth="1"/>
    <col min="7356" max="7356" width="8.28515625" style="6" customWidth="1"/>
    <col min="7357" max="7595" width="9.140625" style="6"/>
    <col min="7596" max="7596" width="5.140625" style="6" customWidth="1"/>
    <col min="7597" max="7597" width="1.85546875" style="6" customWidth="1"/>
    <col min="7598" max="7609" width="8.28515625" style="6" customWidth="1"/>
    <col min="7610" max="7610" width="6.28515625" style="6" bestFit="1" customWidth="1"/>
    <col min="7611" max="7611" width="8" style="6" customWidth="1"/>
    <col min="7612" max="7612" width="8.28515625" style="6" customWidth="1"/>
    <col min="7613" max="7851" width="9.140625" style="6"/>
    <col min="7852" max="7852" width="5.140625" style="6" customWidth="1"/>
    <col min="7853" max="7853" width="1.85546875" style="6" customWidth="1"/>
    <col min="7854" max="7865" width="8.28515625" style="6" customWidth="1"/>
    <col min="7866" max="7866" width="6.28515625" style="6" bestFit="1" customWidth="1"/>
    <col min="7867" max="7867" width="8" style="6" customWidth="1"/>
    <col min="7868" max="7868" width="8.28515625" style="6" customWidth="1"/>
    <col min="7869" max="8107" width="9.140625" style="6"/>
    <col min="8108" max="8108" width="5.140625" style="6" customWidth="1"/>
    <col min="8109" max="8109" width="1.85546875" style="6" customWidth="1"/>
    <col min="8110" max="8121" width="8.28515625" style="6" customWidth="1"/>
    <col min="8122" max="8122" width="6.28515625" style="6" bestFit="1" customWidth="1"/>
    <col min="8123" max="8123" width="8" style="6" customWidth="1"/>
    <col min="8124" max="8124" width="8.28515625" style="6" customWidth="1"/>
    <col min="8125" max="8363" width="9.140625" style="6"/>
    <col min="8364" max="8364" width="5.140625" style="6" customWidth="1"/>
    <col min="8365" max="8365" width="1.85546875" style="6" customWidth="1"/>
    <col min="8366" max="8377" width="8.28515625" style="6" customWidth="1"/>
    <col min="8378" max="8378" width="6.28515625" style="6" bestFit="1" customWidth="1"/>
    <col min="8379" max="8379" width="8" style="6" customWidth="1"/>
    <col min="8380" max="8380" width="8.28515625" style="6" customWidth="1"/>
    <col min="8381" max="8619" width="9.140625" style="6"/>
    <col min="8620" max="8620" width="5.140625" style="6" customWidth="1"/>
    <col min="8621" max="8621" width="1.85546875" style="6" customWidth="1"/>
    <col min="8622" max="8633" width="8.28515625" style="6" customWidth="1"/>
    <col min="8634" max="8634" width="6.28515625" style="6" bestFit="1" customWidth="1"/>
    <col min="8635" max="8635" width="8" style="6" customWidth="1"/>
    <col min="8636" max="8636" width="8.28515625" style="6" customWidth="1"/>
    <col min="8637" max="8875" width="9.140625" style="6"/>
    <col min="8876" max="8876" width="5.140625" style="6" customWidth="1"/>
    <col min="8877" max="8877" width="1.85546875" style="6" customWidth="1"/>
    <col min="8878" max="8889" width="8.28515625" style="6" customWidth="1"/>
    <col min="8890" max="8890" width="6.28515625" style="6" bestFit="1" customWidth="1"/>
    <col min="8891" max="8891" width="8" style="6" customWidth="1"/>
    <col min="8892" max="8892" width="8.28515625" style="6" customWidth="1"/>
    <col min="8893" max="9131" width="9.140625" style="6"/>
    <col min="9132" max="9132" width="5.140625" style="6" customWidth="1"/>
    <col min="9133" max="9133" width="1.85546875" style="6" customWidth="1"/>
    <col min="9134" max="9145" width="8.28515625" style="6" customWidth="1"/>
    <col min="9146" max="9146" width="6.28515625" style="6" bestFit="1" customWidth="1"/>
    <col min="9147" max="9147" width="8" style="6" customWidth="1"/>
    <col min="9148" max="9148" width="8.28515625" style="6" customWidth="1"/>
    <col min="9149" max="9387" width="9.140625" style="6"/>
    <col min="9388" max="9388" width="5.140625" style="6" customWidth="1"/>
    <col min="9389" max="9389" width="1.85546875" style="6" customWidth="1"/>
    <col min="9390" max="9401" width="8.28515625" style="6" customWidth="1"/>
    <col min="9402" max="9402" width="6.28515625" style="6" bestFit="1" customWidth="1"/>
    <col min="9403" max="9403" width="8" style="6" customWidth="1"/>
    <col min="9404" max="9404" width="8.28515625" style="6" customWidth="1"/>
    <col min="9405" max="9643" width="9.140625" style="6"/>
    <col min="9644" max="9644" width="5.140625" style="6" customWidth="1"/>
    <col min="9645" max="9645" width="1.85546875" style="6" customWidth="1"/>
    <col min="9646" max="9657" width="8.28515625" style="6" customWidth="1"/>
    <col min="9658" max="9658" width="6.28515625" style="6" bestFit="1" customWidth="1"/>
    <col min="9659" max="9659" width="8" style="6" customWidth="1"/>
    <col min="9660" max="9660" width="8.28515625" style="6" customWidth="1"/>
    <col min="9661" max="9899" width="9.140625" style="6"/>
    <col min="9900" max="9900" width="5.140625" style="6" customWidth="1"/>
    <col min="9901" max="9901" width="1.85546875" style="6" customWidth="1"/>
    <col min="9902" max="9913" width="8.28515625" style="6" customWidth="1"/>
    <col min="9914" max="9914" width="6.28515625" style="6" bestFit="1" customWidth="1"/>
    <col min="9915" max="9915" width="8" style="6" customWidth="1"/>
    <col min="9916" max="9916" width="8.28515625" style="6" customWidth="1"/>
    <col min="9917" max="10155" width="9.140625" style="6"/>
    <col min="10156" max="10156" width="5.140625" style="6" customWidth="1"/>
    <col min="10157" max="10157" width="1.85546875" style="6" customWidth="1"/>
    <col min="10158" max="10169" width="8.28515625" style="6" customWidth="1"/>
    <col min="10170" max="10170" width="6.28515625" style="6" bestFit="1" customWidth="1"/>
    <col min="10171" max="10171" width="8" style="6" customWidth="1"/>
    <col min="10172" max="10172" width="8.28515625" style="6" customWidth="1"/>
    <col min="10173" max="10411" width="9.140625" style="6"/>
    <col min="10412" max="10412" width="5.140625" style="6" customWidth="1"/>
    <col min="10413" max="10413" width="1.85546875" style="6" customWidth="1"/>
    <col min="10414" max="10425" width="8.28515625" style="6" customWidth="1"/>
    <col min="10426" max="10426" width="6.28515625" style="6" bestFit="1" customWidth="1"/>
    <col min="10427" max="10427" width="8" style="6" customWidth="1"/>
    <col min="10428" max="10428" width="8.28515625" style="6" customWidth="1"/>
    <col min="10429" max="10667" width="9.140625" style="6"/>
    <col min="10668" max="10668" width="5.140625" style="6" customWidth="1"/>
    <col min="10669" max="10669" width="1.85546875" style="6" customWidth="1"/>
    <col min="10670" max="10681" width="8.28515625" style="6" customWidth="1"/>
    <col min="10682" max="10682" width="6.28515625" style="6" bestFit="1" customWidth="1"/>
    <col min="10683" max="10683" width="8" style="6" customWidth="1"/>
    <col min="10684" max="10684" width="8.28515625" style="6" customWidth="1"/>
    <col min="10685" max="10923" width="9.140625" style="6"/>
    <col min="10924" max="10924" width="5.140625" style="6" customWidth="1"/>
    <col min="10925" max="10925" width="1.85546875" style="6" customWidth="1"/>
    <col min="10926" max="10937" width="8.28515625" style="6" customWidth="1"/>
    <col min="10938" max="10938" width="6.28515625" style="6" bestFit="1" customWidth="1"/>
    <col min="10939" max="10939" width="8" style="6" customWidth="1"/>
    <col min="10940" max="10940" width="8.28515625" style="6" customWidth="1"/>
    <col min="10941" max="11179" width="9.140625" style="6"/>
    <col min="11180" max="11180" width="5.140625" style="6" customWidth="1"/>
    <col min="11181" max="11181" width="1.85546875" style="6" customWidth="1"/>
    <col min="11182" max="11193" width="8.28515625" style="6" customWidth="1"/>
    <col min="11194" max="11194" width="6.28515625" style="6" bestFit="1" customWidth="1"/>
    <col min="11195" max="11195" width="8" style="6" customWidth="1"/>
    <col min="11196" max="11196" width="8.28515625" style="6" customWidth="1"/>
    <col min="11197" max="11435" width="9.140625" style="6"/>
    <col min="11436" max="11436" width="5.140625" style="6" customWidth="1"/>
    <col min="11437" max="11437" width="1.85546875" style="6" customWidth="1"/>
    <col min="11438" max="11449" width="8.28515625" style="6" customWidth="1"/>
    <col min="11450" max="11450" width="6.28515625" style="6" bestFit="1" customWidth="1"/>
    <col min="11451" max="11451" width="8" style="6" customWidth="1"/>
    <col min="11452" max="11452" width="8.28515625" style="6" customWidth="1"/>
    <col min="11453" max="11691" width="9.140625" style="6"/>
    <col min="11692" max="11692" width="5.140625" style="6" customWidth="1"/>
    <col min="11693" max="11693" width="1.85546875" style="6" customWidth="1"/>
    <col min="11694" max="11705" width="8.28515625" style="6" customWidth="1"/>
    <col min="11706" max="11706" width="6.28515625" style="6" bestFit="1" customWidth="1"/>
    <col min="11707" max="11707" width="8" style="6" customWidth="1"/>
    <col min="11708" max="11708" width="8.28515625" style="6" customWidth="1"/>
    <col min="11709" max="11947" width="9.140625" style="6"/>
    <col min="11948" max="11948" width="5.140625" style="6" customWidth="1"/>
    <col min="11949" max="11949" width="1.85546875" style="6" customWidth="1"/>
    <col min="11950" max="11961" width="8.28515625" style="6" customWidth="1"/>
    <col min="11962" max="11962" width="6.28515625" style="6" bestFit="1" customWidth="1"/>
    <col min="11963" max="11963" width="8" style="6" customWidth="1"/>
    <col min="11964" max="11964" width="8.28515625" style="6" customWidth="1"/>
    <col min="11965" max="12203" width="9.140625" style="6"/>
    <col min="12204" max="12204" width="5.140625" style="6" customWidth="1"/>
    <col min="12205" max="12205" width="1.85546875" style="6" customWidth="1"/>
    <col min="12206" max="12217" width="8.28515625" style="6" customWidth="1"/>
    <col min="12218" max="12218" width="6.28515625" style="6" bestFit="1" customWidth="1"/>
    <col min="12219" max="12219" width="8" style="6" customWidth="1"/>
    <col min="12220" max="12220" width="8.28515625" style="6" customWidth="1"/>
    <col min="12221" max="12459" width="9.140625" style="6"/>
    <col min="12460" max="12460" width="5.140625" style="6" customWidth="1"/>
    <col min="12461" max="12461" width="1.85546875" style="6" customWidth="1"/>
    <col min="12462" max="12473" width="8.28515625" style="6" customWidth="1"/>
    <col min="12474" max="12474" width="6.28515625" style="6" bestFit="1" customWidth="1"/>
    <col min="12475" max="12475" width="8" style="6" customWidth="1"/>
    <col min="12476" max="12476" width="8.28515625" style="6" customWidth="1"/>
    <col min="12477" max="12715" width="9.140625" style="6"/>
    <col min="12716" max="12716" width="5.140625" style="6" customWidth="1"/>
    <col min="12717" max="12717" width="1.85546875" style="6" customWidth="1"/>
    <col min="12718" max="12729" width="8.28515625" style="6" customWidth="1"/>
    <col min="12730" max="12730" width="6.28515625" style="6" bestFit="1" customWidth="1"/>
    <col min="12731" max="12731" width="8" style="6" customWidth="1"/>
    <col min="12732" max="12732" width="8.28515625" style="6" customWidth="1"/>
    <col min="12733" max="12971" width="9.140625" style="6"/>
    <col min="12972" max="12972" width="5.140625" style="6" customWidth="1"/>
    <col min="12973" max="12973" width="1.85546875" style="6" customWidth="1"/>
    <col min="12974" max="12985" width="8.28515625" style="6" customWidth="1"/>
    <col min="12986" max="12986" width="6.28515625" style="6" bestFit="1" customWidth="1"/>
    <col min="12987" max="12987" width="8" style="6" customWidth="1"/>
    <col min="12988" max="12988" width="8.28515625" style="6" customWidth="1"/>
    <col min="12989" max="13227" width="9.140625" style="6"/>
    <col min="13228" max="13228" width="5.140625" style="6" customWidth="1"/>
    <col min="13229" max="13229" width="1.85546875" style="6" customWidth="1"/>
    <col min="13230" max="13241" width="8.28515625" style="6" customWidth="1"/>
    <col min="13242" max="13242" width="6.28515625" style="6" bestFit="1" customWidth="1"/>
    <col min="13243" max="13243" width="8" style="6" customWidth="1"/>
    <col min="13244" max="13244" width="8.28515625" style="6" customWidth="1"/>
    <col min="13245" max="13483" width="9.140625" style="6"/>
    <col min="13484" max="13484" width="5.140625" style="6" customWidth="1"/>
    <col min="13485" max="13485" width="1.85546875" style="6" customWidth="1"/>
    <col min="13486" max="13497" width="8.28515625" style="6" customWidth="1"/>
    <col min="13498" max="13498" width="6.28515625" style="6" bestFit="1" customWidth="1"/>
    <col min="13499" max="13499" width="8" style="6" customWidth="1"/>
    <col min="13500" max="13500" width="8.28515625" style="6" customWidth="1"/>
    <col min="13501" max="13739" width="9.140625" style="6"/>
    <col min="13740" max="13740" width="5.140625" style="6" customWidth="1"/>
    <col min="13741" max="13741" width="1.85546875" style="6" customWidth="1"/>
    <col min="13742" max="13753" width="8.28515625" style="6" customWidth="1"/>
    <col min="13754" max="13754" width="6.28515625" style="6" bestFit="1" customWidth="1"/>
    <col min="13755" max="13755" width="8" style="6" customWidth="1"/>
    <col min="13756" max="13756" width="8.28515625" style="6" customWidth="1"/>
    <col min="13757" max="13995" width="9.140625" style="6"/>
    <col min="13996" max="13996" width="5.140625" style="6" customWidth="1"/>
    <col min="13997" max="13997" width="1.85546875" style="6" customWidth="1"/>
    <col min="13998" max="14009" width="8.28515625" style="6" customWidth="1"/>
    <col min="14010" max="14010" width="6.28515625" style="6" bestFit="1" customWidth="1"/>
    <col min="14011" max="14011" width="8" style="6" customWidth="1"/>
    <col min="14012" max="14012" width="8.28515625" style="6" customWidth="1"/>
    <col min="14013" max="14251" width="9.140625" style="6"/>
    <col min="14252" max="14252" width="5.140625" style="6" customWidth="1"/>
    <col min="14253" max="14253" width="1.85546875" style="6" customWidth="1"/>
    <col min="14254" max="14265" width="8.28515625" style="6" customWidth="1"/>
    <col min="14266" max="14266" width="6.28515625" style="6" bestFit="1" customWidth="1"/>
    <col min="14267" max="14267" width="8" style="6" customWidth="1"/>
    <col min="14268" max="14268" width="8.28515625" style="6" customWidth="1"/>
    <col min="14269" max="14507" width="9.140625" style="6"/>
    <col min="14508" max="14508" width="5.140625" style="6" customWidth="1"/>
    <col min="14509" max="14509" width="1.85546875" style="6" customWidth="1"/>
    <col min="14510" max="14521" width="8.28515625" style="6" customWidth="1"/>
    <col min="14522" max="14522" width="6.28515625" style="6" bestFit="1" customWidth="1"/>
    <col min="14523" max="14523" width="8" style="6" customWidth="1"/>
    <col min="14524" max="14524" width="8.28515625" style="6" customWidth="1"/>
    <col min="14525" max="14763" width="9.140625" style="6"/>
    <col min="14764" max="14764" width="5.140625" style="6" customWidth="1"/>
    <col min="14765" max="14765" width="1.85546875" style="6" customWidth="1"/>
    <col min="14766" max="14777" width="8.28515625" style="6" customWidth="1"/>
    <col min="14778" max="14778" width="6.28515625" style="6" bestFit="1" customWidth="1"/>
    <col min="14779" max="14779" width="8" style="6" customWidth="1"/>
    <col min="14780" max="14780" width="8.28515625" style="6" customWidth="1"/>
    <col min="14781" max="15019" width="9.140625" style="6"/>
    <col min="15020" max="15020" width="5.140625" style="6" customWidth="1"/>
    <col min="15021" max="15021" width="1.85546875" style="6" customWidth="1"/>
    <col min="15022" max="15033" width="8.28515625" style="6" customWidth="1"/>
    <col min="15034" max="15034" width="6.28515625" style="6" bestFit="1" customWidth="1"/>
    <col min="15035" max="15035" width="8" style="6" customWidth="1"/>
    <col min="15036" max="15036" width="8.28515625" style="6" customWidth="1"/>
    <col min="15037" max="15275" width="9.140625" style="6"/>
    <col min="15276" max="15276" width="5.140625" style="6" customWidth="1"/>
    <col min="15277" max="15277" width="1.85546875" style="6" customWidth="1"/>
    <col min="15278" max="15289" width="8.28515625" style="6" customWidth="1"/>
    <col min="15290" max="15290" width="6.28515625" style="6" bestFit="1" customWidth="1"/>
    <col min="15291" max="15291" width="8" style="6" customWidth="1"/>
    <col min="15292" max="15292" width="8.28515625" style="6" customWidth="1"/>
    <col min="15293" max="15531" width="9.140625" style="6"/>
    <col min="15532" max="15532" width="5.140625" style="6" customWidth="1"/>
    <col min="15533" max="15533" width="1.85546875" style="6" customWidth="1"/>
    <col min="15534" max="15545" width="8.28515625" style="6" customWidth="1"/>
    <col min="15546" max="15546" width="6.28515625" style="6" bestFit="1" customWidth="1"/>
    <col min="15547" max="15547" width="8" style="6" customWidth="1"/>
    <col min="15548" max="15548" width="8.28515625" style="6" customWidth="1"/>
    <col min="15549" max="15787" width="9.140625" style="6"/>
    <col min="15788" max="15788" width="5.140625" style="6" customWidth="1"/>
    <col min="15789" max="15789" width="1.85546875" style="6" customWidth="1"/>
    <col min="15790" max="15801" width="8.28515625" style="6" customWidth="1"/>
    <col min="15802" max="15802" width="6.28515625" style="6" bestFit="1" customWidth="1"/>
    <col min="15803" max="15803" width="8" style="6" customWidth="1"/>
    <col min="15804" max="15804" width="8.28515625" style="6" customWidth="1"/>
    <col min="15805" max="16043" width="9.140625" style="6"/>
    <col min="16044" max="16044" width="5.140625" style="6" customWidth="1"/>
    <col min="16045" max="16045" width="1.85546875" style="6" customWidth="1"/>
    <col min="16046" max="16057" width="8.28515625" style="6" customWidth="1"/>
    <col min="16058" max="16058" width="6.28515625" style="6" bestFit="1" customWidth="1"/>
    <col min="16059" max="16059" width="8" style="6" customWidth="1"/>
    <col min="16060" max="16060" width="8.28515625" style="6" customWidth="1"/>
    <col min="16061" max="16384" width="9.140625" style="6"/>
  </cols>
  <sheetData>
    <row r="1" spans="1:5" s="1" customFormat="1" ht="15" customHeight="1" x14ac:dyDescent="0.2">
      <c r="A1" s="8" t="s">
        <v>193</v>
      </c>
      <c r="B1" s="8"/>
      <c r="C1" s="8"/>
      <c r="D1" s="8"/>
      <c r="E1" s="8"/>
    </row>
    <row r="2" spans="1:5" s="1" customFormat="1" ht="14.25" customHeight="1" x14ac:dyDescent="0.2">
      <c r="A2" s="85" t="s">
        <v>194</v>
      </c>
      <c r="B2" s="22"/>
      <c r="C2" s="22"/>
      <c r="D2" s="10"/>
      <c r="E2" s="12"/>
    </row>
    <row r="3" spans="1:5" s="1" customFormat="1" ht="12" customHeight="1" thickBot="1" x14ac:dyDescent="0.25">
      <c r="A3" s="22"/>
      <c r="B3" s="22"/>
      <c r="C3" s="22"/>
      <c r="D3" s="10"/>
      <c r="E3" s="12" t="s">
        <v>169</v>
      </c>
    </row>
    <row r="4" spans="1:5" s="4" customFormat="1" ht="20.25" customHeight="1" x14ac:dyDescent="0.15">
      <c r="A4" s="3"/>
      <c r="B4" s="9"/>
      <c r="C4" s="9"/>
      <c r="D4" s="102" t="s">
        <v>171</v>
      </c>
      <c r="E4" s="103"/>
    </row>
    <row r="5" spans="1:5" s="4" customFormat="1" ht="10.5" customHeight="1" x14ac:dyDescent="0.15">
      <c r="A5" s="23"/>
      <c r="B5" s="11"/>
      <c r="C5" s="11"/>
      <c r="D5" s="20" t="s">
        <v>173</v>
      </c>
      <c r="E5" s="20" t="s">
        <v>174</v>
      </c>
    </row>
    <row r="6" spans="1:5" s="4" customFormat="1" ht="21.75" customHeight="1" x14ac:dyDescent="0.15">
      <c r="A6" s="105" t="s">
        <v>200</v>
      </c>
      <c r="B6" s="105"/>
      <c r="C6" s="95" t="s">
        <v>170</v>
      </c>
      <c r="D6" s="96" t="s">
        <v>166</v>
      </c>
      <c r="E6" s="96" t="s">
        <v>167</v>
      </c>
    </row>
    <row r="7" spans="1:5" s="4" customFormat="1" ht="15" customHeight="1" x14ac:dyDescent="0.15">
      <c r="A7" s="26" t="s">
        <v>0</v>
      </c>
      <c r="B7" s="26" t="s">
        <v>1</v>
      </c>
      <c r="C7" s="94">
        <f>SUM(C8:C88)</f>
        <v>23363084</v>
      </c>
      <c r="D7" s="94">
        <f>SUM(D8:D88)</f>
        <v>22290532.499999993</v>
      </c>
      <c r="E7" s="94">
        <f>SUM(E8:E88)</f>
        <v>1072551.19</v>
      </c>
    </row>
    <row r="8" spans="1:5" s="4" customFormat="1" ht="15" customHeight="1" x14ac:dyDescent="0.15">
      <c r="A8" s="13" t="s">
        <v>2</v>
      </c>
      <c r="B8" s="24" t="s">
        <v>3</v>
      </c>
      <c r="C8" s="92">
        <v>240688</v>
      </c>
      <c r="D8" s="92">
        <v>240688</v>
      </c>
      <c r="E8" s="93" t="s">
        <v>199</v>
      </c>
    </row>
    <row r="9" spans="1:5" s="5" customFormat="1" ht="15" customHeight="1" x14ac:dyDescent="0.15">
      <c r="A9" s="13" t="s">
        <v>4</v>
      </c>
      <c r="B9" s="13" t="s">
        <v>5</v>
      </c>
      <c r="C9" s="92">
        <v>101174</v>
      </c>
      <c r="D9" s="92">
        <v>101174</v>
      </c>
      <c r="E9" s="93" t="s">
        <v>199</v>
      </c>
    </row>
    <row r="10" spans="1:5" s="1" customFormat="1" ht="15" customHeight="1" x14ac:dyDescent="0.2">
      <c r="A10" s="13" t="s">
        <v>6</v>
      </c>
      <c r="B10" s="13" t="s">
        <v>7</v>
      </c>
      <c r="C10" s="92">
        <v>103014</v>
      </c>
      <c r="D10" s="92">
        <v>103014</v>
      </c>
      <c r="E10" s="93" t="s">
        <v>199</v>
      </c>
    </row>
    <row r="11" spans="1:5" s="1" customFormat="1" ht="15" customHeight="1" x14ac:dyDescent="0.2">
      <c r="A11" s="13" t="s">
        <v>8</v>
      </c>
      <c r="B11" s="13" t="s">
        <v>9</v>
      </c>
      <c r="C11" s="92">
        <v>254124</v>
      </c>
      <c r="D11" s="92">
        <v>254124</v>
      </c>
      <c r="E11" s="93" t="s">
        <v>199</v>
      </c>
    </row>
    <row r="12" spans="1:5" s="1" customFormat="1" ht="15" customHeight="1" x14ac:dyDescent="0.2">
      <c r="A12" s="13" t="s">
        <v>10</v>
      </c>
      <c r="B12" s="13" t="s">
        <v>11</v>
      </c>
      <c r="C12" s="92">
        <v>632405</v>
      </c>
      <c r="D12" s="92">
        <v>632405</v>
      </c>
      <c r="E12" s="93" t="s">
        <v>199</v>
      </c>
    </row>
    <row r="13" spans="1:5" s="1" customFormat="1" ht="15" customHeight="1" x14ac:dyDescent="0.2">
      <c r="A13" s="13" t="s">
        <v>12</v>
      </c>
      <c r="B13" s="13" t="s">
        <v>13</v>
      </c>
      <c r="C13" s="92">
        <v>480253</v>
      </c>
      <c r="D13" s="92">
        <v>480253</v>
      </c>
      <c r="E13" s="93" t="s">
        <v>199</v>
      </c>
    </row>
    <row r="14" spans="1:5" s="1" customFormat="1" ht="15" customHeight="1" x14ac:dyDescent="0.2">
      <c r="A14" s="13" t="s">
        <v>14</v>
      </c>
      <c r="B14" s="13" t="s">
        <v>15</v>
      </c>
      <c r="C14" s="92">
        <v>478547</v>
      </c>
      <c r="D14" s="92">
        <v>478547</v>
      </c>
      <c r="E14" s="93" t="s">
        <v>199</v>
      </c>
    </row>
    <row r="15" spans="1:5" s="1" customFormat="1" ht="15" customHeight="1" x14ac:dyDescent="0.2">
      <c r="A15" s="13" t="s">
        <v>16</v>
      </c>
      <c r="B15" s="13" t="s">
        <v>17</v>
      </c>
      <c r="C15" s="92">
        <v>326941</v>
      </c>
      <c r="D15" s="92">
        <v>326941</v>
      </c>
      <c r="E15" s="93" t="s">
        <v>199</v>
      </c>
    </row>
    <row r="16" spans="1:5" s="7" customFormat="1" ht="15" customHeight="1" x14ac:dyDescent="0.2">
      <c r="A16" s="13" t="s">
        <v>18</v>
      </c>
      <c r="B16" s="13" t="s">
        <v>19</v>
      </c>
      <c r="C16" s="92">
        <v>588672</v>
      </c>
      <c r="D16" s="92">
        <v>588672</v>
      </c>
      <c r="E16" s="93" t="s">
        <v>199</v>
      </c>
    </row>
    <row r="17" spans="1:5" s="7" customFormat="1" ht="15" customHeight="1" x14ac:dyDescent="0.2">
      <c r="A17" s="13" t="s">
        <v>20</v>
      </c>
      <c r="B17" s="13" t="s">
        <v>21</v>
      </c>
      <c r="C17" s="92">
        <v>830358</v>
      </c>
      <c r="D17" s="92">
        <v>830358</v>
      </c>
      <c r="E17" s="93" t="s">
        <v>199</v>
      </c>
    </row>
    <row r="18" spans="1:5" s="7" customFormat="1" ht="15" customHeight="1" x14ac:dyDescent="0.2">
      <c r="A18" s="13" t="s">
        <v>22</v>
      </c>
      <c r="B18" s="13" t="s">
        <v>23</v>
      </c>
      <c r="C18" s="92">
        <v>539337</v>
      </c>
      <c r="D18" s="92">
        <v>539337</v>
      </c>
      <c r="E18" s="93" t="s">
        <v>199</v>
      </c>
    </row>
    <row r="19" spans="1:5" s="7" customFormat="1" ht="15" customHeight="1" x14ac:dyDescent="0.2">
      <c r="A19" s="13" t="s">
        <v>24</v>
      </c>
      <c r="B19" s="13" t="s">
        <v>25</v>
      </c>
      <c r="C19" s="92">
        <v>271334</v>
      </c>
      <c r="D19" s="92">
        <v>271334</v>
      </c>
      <c r="E19" s="93" t="s">
        <v>199</v>
      </c>
    </row>
    <row r="20" spans="1:5" s="7" customFormat="1" ht="15" customHeight="1" x14ac:dyDescent="0.2">
      <c r="A20" s="13" t="s">
        <v>26</v>
      </c>
      <c r="B20" s="13" t="s">
        <v>27</v>
      </c>
      <c r="C20" s="92">
        <v>654518</v>
      </c>
      <c r="D20" s="92">
        <v>654518</v>
      </c>
      <c r="E20" s="93" t="s">
        <v>199</v>
      </c>
    </row>
    <row r="21" spans="1:5" s="7" customFormat="1" ht="15" customHeight="1" x14ac:dyDescent="0.2">
      <c r="A21" s="13" t="s">
        <v>28</v>
      </c>
      <c r="B21" s="13" t="s">
        <v>29</v>
      </c>
      <c r="C21" s="92">
        <v>223496</v>
      </c>
      <c r="D21" s="92">
        <v>223496</v>
      </c>
      <c r="E21" s="93" t="s">
        <v>199</v>
      </c>
    </row>
    <row r="22" spans="1:5" s="7" customFormat="1" ht="15" customHeight="1" x14ac:dyDescent="0.2">
      <c r="A22" s="13" t="s">
        <v>30</v>
      </c>
      <c r="B22" s="13" t="s">
        <v>31</v>
      </c>
      <c r="C22" s="92">
        <v>483542</v>
      </c>
      <c r="D22" s="92">
        <v>483542</v>
      </c>
      <c r="E22" s="93" t="s">
        <v>199</v>
      </c>
    </row>
    <row r="23" spans="1:5" s="7" customFormat="1" ht="15" customHeight="1" x14ac:dyDescent="0.2">
      <c r="A23" s="13" t="s">
        <v>32</v>
      </c>
      <c r="B23" s="13" t="s">
        <v>33</v>
      </c>
      <c r="C23" s="92">
        <v>410057</v>
      </c>
      <c r="D23" s="92">
        <v>410057</v>
      </c>
      <c r="E23" s="93" t="s">
        <v>199</v>
      </c>
    </row>
    <row r="24" spans="1:5" s="7" customFormat="1" ht="15" customHeight="1" x14ac:dyDescent="0.2">
      <c r="A24" s="13" t="s">
        <v>34</v>
      </c>
      <c r="B24" s="13" t="s">
        <v>35</v>
      </c>
      <c r="C24" s="92">
        <v>240252</v>
      </c>
      <c r="D24" s="92">
        <v>240252</v>
      </c>
      <c r="E24" s="93" t="s">
        <v>199</v>
      </c>
    </row>
    <row r="25" spans="1:5" s="7" customFormat="1" ht="15" customHeight="1" x14ac:dyDescent="0.2">
      <c r="A25" s="13" t="s">
        <v>36</v>
      </c>
      <c r="B25" s="13" t="s">
        <v>37</v>
      </c>
      <c r="C25" s="92">
        <v>143227</v>
      </c>
      <c r="D25" s="92">
        <v>143227</v>
      </c>
      <c r="E25" s="93" t="s">
        <v>199</v>
      </c>
    </row>
    <row r="26" spans="1:5" s="1" customFormat="1" ht="15" customHeight="1" x14ac:dyDescent="0.2">
      <c r="A26" s="13" t="s">
        <v>38</v>
      </c>
      <c r="B26" s="13" t="s">
        <v>39</v>
      </c>
      <c r="C26" s="92">
        <v>208226</v>
      </c>
      <c r="D26" s="92">
        <v>208226</v>
      </c>
      <c r="E26" s="93" t="s">
        <v>199</v>
      </c>
    </row>
    <row r="27" spans="1:5" s="1" customFormat="1" ht="15" customHeight="1" x14ac:dyDescent="0.2">
      <c r="A27" s="13" t="s">
        <v>40</v>
      </c>
      <c r="B27" s="13" t="s">
        <v>41</v>
      </c>
      <c r="C27" s="92">
        <v>133203</v>
      </c>
      <c r="D27" s="92">
        <v>133203</v>
      </c>
      <c r="E27" s="93" t="s">
        <v>199</v>
      </c>
    </row>
    <row r="28" spans="1:5" s="1" customFormat="1" ht="15" customHeight="1" x14ac:dyDescent="0.2">
      <c r="A28" s="13" t="s">
        <v>42</v>
      </c>
      <c r="B28" s="13" t="s">
        <v>43</v>
      </c>
      <c r="C28" s="92">
        <v>539963</v>
      </c>
      <c r="D28" s="92">
        <v>539963</v>
      </c>
      <c r="E28" s="93" t="s">
        <v>199</v>
      </c>
    </row>
    <row r="29" spans="1:5" s="1" customFormat="1" ht="15" customHeight="1" x14ac:dyDescent="0.2">
      <c r="A29" s="13" t="s">
        <v>44</v>
      </c>
      <c r="B29" s="13" t="s">
        <v>45</v>
      </c>
      <c r="C29" s="92">
        <v>47570</v>
      </c>
      <c r="D29" s="92">
        <v>47570</v>
      </c>
      <c r="E29" s="93" t="s">
        <v>199</v>
      </c>
    </row>
    <row r="30" spans="1:5" s="1" customFormat="1" ht="15" customHeight="1" x14ac:dyDescent="0.2">
      <c r="A30" s="13" t="s">
        <v>46</v>
      </c>
      <c r="B30" s="13" t="s">
        <v>47</v>
      </c>
      <c r="C30" s="92">
        <v>473229</v>
      </c>
      <c r="D30" s="92">
        <v>473229</v>
      </c>
      <c r="E30" s="93" t="s">
        <v>199</v>
      </c>
    </row>
    <row r="31" spans="1:5" s="1" customFormat="1" ht="15" customHeight="1" x14ac:dyDescent="0.2">
      <c r="A31" s="13" t="s">
        <v>48</v>
      </c>
      <c r="B31" s="13" t="s">
        <v>49</v>
      </c>
      <c r="C31" s="92">
        <v>643068</v>
      </c>
      <c r="D31" s="92">
        <v>608949</v>
      </c>
      <c r="E31" s="92">
        <v>34118.69</v>
      </c>
    </row>
    <row r="32" spans="1:5" s="1" customFormat="1" ht="15" customHeight="1" x14ac:dyDescent="0.2">
      <c r="A32" s="13" t="s">
        <v>50</v>
      </c>
      <c r="B32" s="13" t="s">
        <v>51</v>
      </c>
      <c r="C32" s="92">
        <v>212488</v>
      </c>
      <c r="D32" s="92">
        <v>191422</v>
      </c>
      <c r="E32" s="93">
        <v>21066</v>
      </c>
    </row>
    <row r="33" spans="1:5" s="1" customFormat="1" ht="15" customHeight="1" x14ac:dyDescent="0.2">
      <c r="A33" s="13" t="s">
        <v>52</v>
      </c>
      <c r="B33" s="13" t="s">
        <v>53</v>
      </c>
      <c r="C33" s="92">
        <v>1180241</v>
      </c>
      <c r="D33" s="92">
        <v>1176630</v>
      </c>
      <c r="E33" s="93">
        <v>3611</v>
      </c>
    </row>
    <row r="34" spans="1:5" s="1" customFormat="1" ht="15" customHeight="1" x14ac:dyDescent="0.2">
      <c r="A34" s="13" t="s">
        <v>54</v>
      </c>
      <c r="B34" s="13" t="s">
        <v>55</v>
      </c>
      <c r="C34" s="92">
        <v>404922</v>
      </c>
      <c r="D34" s="92">
        <v>404922</v>
      </c>
      <c r="E34" s="93" t="s">
        <v>199</v>
      </c>
    </row>
    <row r="35" spans="1:5" s="1" customFormat="1" ht="15" customHeight="1" x14ac:dyDescent="0.2">
      <c r="A35" s="13" t="s">
        <v>56</v>
      </c>
      <c r="B35" s="13" t="s">
        <v>57</v>
      </c>
      <c r="C35" s="92">
        <v>335719</v>
      </c>
      <c r="D35" s="92">
        <v>335719</v>
      </c>
      <c r="E35" s="93" t="s">
        <v>199</v>
      </c>
    </row>
    <row r="36" spans="1:5" s="1" customFormat="1" ht="15" customHeight="1" x14ac:dyDescent="0.2">
      <c r="A36" s="13" t="s">
        <v>58</v>
      </c>
      <c r="B36" s="13" t="s">
        <v>59</v>
      </c>
      <c r="C36" s="92">
        <v>593660</v>
      </c>
      <c r="D36" s="92">
        <v>593660</v>
      </c>
      <c r="E36" s="93" t="s">
        <v>199</v>
      </c>
    </row>
    <row r="37" spans="1:5" s="1" customFormat="1" ht="15" customHeight="1" x14ac:dyDescent="0.2">
      <c r="A37" s="13" t="s">
        <v>60</v>
      </c>
      <c r="B37" s="13" t="s">
        <v>61</v>
      </c>
      <c r="C37" s="92">
        <v>835534</v>
      </c>
      <c r="D37" s="92">
        <v>835534</v>
      </c>
      <c r="E37" s="93" t="s">
        <v>199</v>
      </c>
    </row>
    <row r="38" spans="1:5" s="1" customFormat="1" ht="15" customHeight="1" x14ac:dyDescent="0.2">
      <c r="A38" s="13" t="s">
        <v>62</v>
      </c>
      <c r="B38" s="13" t="s">
        <v>63</v>
      </c>
      <c r="C38" s="92">
        <v>208067</v>
      </c>
      <c r="D38" s="92">
        <v>207906</v>
      </c>
      <c r="E38" s="93">
        <v>161</v>
      </c>
    </row>
    <row r="39" spans="1:5" s="1" customFormat="1" ht="15" customHeight="1" x14ac:dyDescent="0.2">
      <c r="A39" s="13" t="s">
        <v>64</v>
      </c>
      <c r="B39" s="14" t="s">
        <v>65</v>
      </c>
      <c r="C39" s="92">
        <v>521413</v>
      </c>
      <c r="D39" s="92">
        <v>521413</v>
      </c>
      <c r="E39" s="93" t="s">
        <v>199</v>
      </c>
    </row>
    <row r="40" spans="1:5" s="1" customFormat="1" ht="15" customHeight="1" x14ac:dyDescent="0.2">
      <c r="A40" s="13" t="s">
        <v>66</v>
      </c>
      <c r="B40" s="13" t="s">
        <v>67</v>
      </c>
      <c r="C40" s="92">
        <v>156228</v>
      </c>
      <c r="D40" s="92">
        <v>143019</v>
      </c>
      <c r="E40" s="93">
        <v>13209</v>
      </c>
    </row>
    <row r="41" spans="1:5" s="1" customFormat="1" ht="15" customHeight="1" x14ac:dyDescent="0.2">
      <c r="A41" s="13" t="s">
        <v>68</v>
      </c>
      <c r="B41" s="13" t="s">
        <v>69</v>
      </c>
      <c r="C41" s="92">
        <v>70286</v>
      </c>
      <c r="D41" s="92">
        <v>70286</v>
      </c>
      <c r="E41" s="93" t="s">
        <v>199</v>
      </c>
    </row>
    <row r="42" spans="1:5" s="1" customFormat="1" ht="15" customHeight="1" x14ac:dyDescent="0.2">
      <c r="A42" s="13" t="s">
        <v>70</v>
      </c>
      <c r="B42" s="13" t="s">
        <v>71</v>
      </c>
      <c r="C42" s="92">
        <v>23469</v>
      </c>
      <c r="D42" s="92">
        <v>23469</v>
      </c>
      <c r="E42" s="93" t="s">
        <v>199</v>
      </c>
    </row>
    <row r="43" spans="1:5" s="1" customFormat="1" ht="15" customHeight="1" x14ac:dyDescent="0.2">
      <c r="A43" s="13" t="s">
        <v>72</v>
      </c>
      <c r="B43" s="13" t="s">
        <v>73</v>
      </c>
      <c r="C43" s="92">
        <v>60026</v>
      </c>
      <c r="D43" s="92">
        <v>60026</v>
      </c>
      <c r="E43" s="93" t="s">
        <v>199</v>
      </c>
    </row>
    <row r="44" spans="1:5" s="1" customFormat="1" ht="15" customHeight="1" x14ac:dyDescent="0.2">
      <c r="A44" s="13" t="s">
        <v>74</v>
      </c>
      <c r="B44" s="13" t="s">
        <v>75</v>
      </c>
      <c r="C44" s="92">
        <v>14938</v>
      </c>
      <c r="D44" s="92">
        <v>14938</v>
      </c>
      <c r="E44" s="93" t="s">
        <v>199</v>
      </c>
    </row>
    <row r="45" spans="1:5" s="1" customFormat="1" ht="15" customHeight="1" x14ac:dyDescent="0.2">
      <c r="A45" s="13" t="s">
        <v>76</v>
      </c>
      <c r="B45" s="13" t="s">
        <v>77</v>
      </c>
      <c r="C45" s="92">
        <v>43668</v>
      </c>
      <c r="D45" s="92">
        <v>43668</v>
      </c>
      <c r="E45" s="93" t="s">
        <v>199</v>
      </c>
    </row>
    <row r="46" spans="1:5" s="1" customFormat="1" ht="15" customHeight="1" x14ac:dyDescent="0.2">
      <c r="A46" s="13" t="s">
        <v>78</v>
      </c>
      <c r="B46" s="13" t="s">
        <v>79</v>
      </c>
      <c r="C46" s="92">
        <v>166864</v>
      </c>
      <c r="D46" s="92">
        <v>166864</v>
      </c>
      <c r="E46" s="93" t="s">
        <v>199</v>
      </c>
    </row>
    <row r="47" spans="1:5" s="1" customFormat="1" ht="15" customHeight="1" x14ac:dyDescent="0.2">
      <c r="A47" s="13" t="s">
        <v>80</v>
      </c>
      <c r="B47" s="13" t="s">
        <v>81</v>
      </c>
      <c r="C47" s="92">
        <v>503469</v>
      </c>
      <c r="D47" s="92">
        <v>503469</v>
      </c>
      <c r="E47" s="93" t="s">
        <v>199</v>
      </c>
    </row>
    <row r="48" spans="1:5" s="1" customFormat="1" ht="15" customHeight="1" x14ac:dyDescent="0.2">
      <c r="A48" s="13" t="s">
        <v>82</v>
      </c>
      <c r="B48" s="13" t="s">
        <v>83</v>
      </c>
      <c r="C48" s="92">
        <v>275956</v>
      </c>
      <c r="D48" s="92">
        <v>256960</v>
      </c>
      <c r="E48" s="93">
        <v>18996</v>
      </c>
    </row>
    <row r="49" spans="1:5" s="1" customFormat="1" ht="15" customHeight="1" x14ac:dyDescent="0.2">
      <c r="A49" s="13" t="s">
        <v>84</v>
      </c>
      <c r="B49" s="13" t="s">
        <v>85</v>
      </c>
      <c r="C49" s="92">
        <v>201521</v>
      </c>
      <c r="D49" s="92">
        <v>201521</v>
      </c>
      <c r="E49" s="93" t="s">
        <v>199</v>
      </c>
    </row>
    <row r="50" spans="1:5" s="1" customFormat="1" ht="15" customHeight="1" x14ac:dyDescent="0.2">
      <c r="A50" s="13" t="s">
        <v>86</v>
      </c>
      <c r="B50" s="13" t="s">
        <v>87</v>
      </c>
      <c r="C50" s="92">
        <v>287761</v>
      </c>
      <c r="D50" s="92">
        <v>287761</v>
      </c>
      <c r="E50" s="93" t="s">
        <v>199</v>
      </c>
    </row>
    <row r="51" spans="1:5" s="1" customFormat="1" ht="15" customHeight="1" x14ac:dyDescent="0.2">
      <c r="A51" s="13" t="s">
        <v>88</v>
      </c>
      <c r="B51" s="13" t="s">
        <v>89</v>
      </c>
      <c r="C51" s="92">
        <v>133531</v>
      </c>
      <c r="D51" s="92">
        <v>133531</v>
      </c>
      <c r="E51" s="93" t="s">
        <v>199</v>
      </c>
    </row>
    <row r="52" spans="1:5" s="1" customFormat="1" ht="15" customHeight="1" x14ac:dyDescent="0.2">
      <c r="A52" s="13" t="s">
        <v>90</v>
      </c>
      <c r="B52" s="13" t="s">
        <v>91</v>
      </c>
      <c r="C52" s="92">
        <v>876314</v>
      </c>
      <c r="D52" s="92">
        <v>876314</v>
      </c>
      <c r="E52" s="93" t="s">
        <v>199</v>
      </c>
    </row>
    <row r="53" spans="1:5" s="1" customFormat="1" ht="15" customHeight="1" x14ac:dyDescent="0.2">
      <c r="A53" s="13" t="s">
        <v>92</v>
      </c>
      <c r="B53" s="13" t="s">
        <v>93</v>
      </c>
      <c r="C53" s="92">
        <v>204541</v>
      </c>
      <c r="D53" s="92">
        <v>204541</v>
      </c>
      <c r="E53" s="93" t="s">
        <v>199</v>
      </c>
    </row>
    <row r="54" spans="1:5" s="1" customFormat="1" ht="15" customHeight="1" x14ac:dyDescent="0.2">
      <c r="A54" s="13" t="s">
        <v>94</v>
      </c>
      <c r="B54" s="13" t="s">
        <v>95</v>
      </c>
      <c r="C54" s="92">
        <v>367096</v>
      </c>
      <c r="D54" s="92">
        <v>367096</v>
      </c>
      <c r="E54" s="93" t="s">
        <v>199</v>
      </c>
    </row>
    <row r="55" spans="1:5" s="1" customFormat="1" ht="15" customHeight="1" x14ac:dyDescent="0.2">
      <c r="A55" s="13" t="s">
        <v>96</v>
      </c>
      <c r="B55" s="13" t="s">
        <v>97</v>
      </c>
      <c r="C55" s="92">
        <v>389500</v>
      </c>
      <c r="D55" s="92">
        <v>389500</v>
      </c>
      <c r="E55" s="93" t="s">
        <v>199</v>
      </c>
    </row>
    <row r="56" spans="1:5" s="1" customFormat="1" ht="15" customHeight="1" x14ac:dyDescent="0.2">
      <c r="A56" s="13" t="s">
        <v>98</v>
      </c>
      <c r="B56" s="13" t="s">
        <v>99</v>
      </c>
      <c r="C56" s="92">
        <v>478379</v>
      </c>
      <c r="D56" s="92">
        <v>478379</v>
      </c>
      <c r="E56" s="93" t="s">
        <v>199</v>
      </c>
    </row>
    <row r="57" spans="1:5" s="1" customFormat="1" ht="15" customHeight="1" x14ac:dyDescent="0.2">
      <c r="A57" s="13" t="s">
        <v>100</v>
      </c>
      <c r="B57" s="13" t="s">
        <v>101</v>
      </c>
      <c r="C57" s="92">
        <v>474887</v>
      </c>
      <c r="D57" s="92">
        <v>474887</v>
      </c>
      <c r="E57" s="93" t="s">
        <v>199</v>
      </c>
    </row>
    <row r="58" spans="1:5" s="1" customFormat="1" ht="15" customHeight="1" x14ac:dyDescent="0.2">
      <c r="A58" s="13" t="s">
        <v>102</v>
      </c>
      <c r="B58" s="13" t="s">
        <v>103</v>
      </c>
      <c r="C58" s="92">
        <v>220681</v>
      </c>
      <c r="D58" s="92">
        <v>220681</v>
      </c>
      <c r="E58" s="93" t="s">
        <v>199</v>
      </c>
    </row>
    <row r="59" spans="1:5" s="1" customFormat="1" ht="15" customHeight="1" x14ac:dyDescent="0.2">
      <c r="A59" s="13" t="s">
        <v>104</v>
      </c>
      <c r="B59" s="13" t="s">
        <v>105</v>
      </c>
      <c r="C59" s="92">
        <v>182543</v>
      </c>
      <c r="D59" s="92">
        <v>182543</v>
      </c>
      <c r="E59" s="93" t="s">
        <v>199</v>
      </c>
    </row>
    <row r="60" spans="1:5" s="1" customFormat="1" ht="15" customHeight="1" x14ac:dyDescent="0.2">
      <c r="A60" s="13" t="s">
        <v>106</v>
      </c>
      <c r="B60" s="13" t="s">
        <v>107</v>
      </c>
      <c r="C60" s="92">
        <v>202896</v>
      </c>
      <c r="D60" s="92">
        <v>202896</v>
      </c>
      <c r="E60" s="93" t="s">
        <v>199</v>
      </c>
    </row>
    <row r="61" spans="1:5" s="1" customFormat="1" ht="15" customHeight="1" x14ac:dyDescent="0.2">
      <c r="A61" s="13" t="s">
        <v>108</v>
      </c>
      <c r="B61" s="13" t="s">
        <v>109</v>
      </c>
      <c r="C61" s="92">
        <v>258153</v>
      </c>
      <c r="D61" s="92">
        <v>258153</v>
      </c>
      <c r="E61" s="93" t="s">
        <v>199</v>
      </c>
    </row>
    <row r="62" spans="1:5" s="1" customFormat="1" ht="15" customHeight="1" x14ac:dyDescent="0.2">
      <c r="A62" s="13" t="s">
        <v>110</v>
      </c>
      <c r="B62" s="13" t="s">
        <v>111</v>
      </c>
      <c r="C62" s="92">
        <v>174297</v>
      </c>
      <c r="D62" s="92">
        <v>174297</v>
      </c>
      <c r="E62" s="93" t="s">
        <v>199</v>
      </c>
    </row>
    <row r="63" spans="1:5" s="1" customFormat="1" ht="15" customHeight="1" x14ac:dyDescent="0.2">
      <c r="A63" s="13" t="s">
        <v>112</v>
      </c>
      <c r="B63" s="13" t="s">
        <v>113</v>
      </c>
      <c r="C63" s="92">
        <v>417016</v>
      </c>
      <c r="D63" s="92">
        <v>417016</v>
      </c>
      <c r="E63" s="93" t="s">
        <v>199</v>
      </c>
    </row>
    <row r="64" spans="1:5" s="1" customFormat="1" ht="15" customHeight="1" x14ac:dyDescent="0.2">
      <c r="A64" s="13" t="s">
        <v>114</v>
      </c>
      <c r="B64" s="13" t="s">
        <v>115</v>
      </c>
      <c r="C64" s="92">
        <v>239577</v>
      </c>
      <c r="D64" s="92">
        <v>239577</v>
      </c>
      <c r="E64" s="93" t="s">
        <v>199</v>
      </c>
    </row>
    <row r="65" spans="1:5" s="1" customFormat="1" ht="15" customHeight="1" x14ac:dyDescent="0.2">
      <c r="A65" s="13" t="s">
        <v>116</v>
      </c>
      <c r="B65" s="13" t="s">
        <v>117</v>
      </c>
      <c r="C65" s="92">
        <v>289341</v>
      </c>
      <c r="D65" s="92">
        <v>289341</v>
      </c>
      <c r="E65" s="93" t="s">
        <v>199</v>
      </c>
    </row>
    <row r="66" spans="1:5" s="1" customFormat="1" ht="15" customHeight="1" x14ac:dyDescent="0.2">
      <c r="A66" s="13" t="s">
        <v>118</v>
      </c>
      <c r="B66" s="13" t="s">
        <v>119</v>
      </c>
      <c r="C66" s="92">
        <v>259181</v>
      </c>
      <c r="D66" s="92">
        <v>259181</v>
      </c>
      <c r="E66" s="93" t="s">
        <v>199</v>
      </c>
    </row>
    <row r="67" spans="1:5" s="1" customFormat="1" ht="15" customHeight="1" x14ac:dyDescent="0.2">
      <c r="A67" s="13" t="s">
        <v>120</v>
      </c>
      <c r="B67" s="13" t="s">
        <v>121</v>
      </c>
      <c r="C67" s="92">
        <v>29793</v>
      </c>
      <c r="D67" s="92">
        <v>29793</v>
      </c>
      <c r="E67" s="93" t="s">
        <v>199</v>
      </c>
    </row>
    <row r="68" spans="1:5" s="1" customFormat="1" ht="15" customHeight="1" x14ac:dyDescent="0.2">
      <c r="A68" s="13" t="s">
        <v>122</v>
      </c>
      <c r="B68" s="13" t="s">
        <v>123</v>
      </c>
      <c r="C68" s="92">
        <v>5320</v>
      </c>
      <c r="D68" s="92">
        <v>5320</v>
      </c>
      <c r="E68" s="93" t="s">
        <v>199</v>
      </c>
    </row>
    <row r="69" spans="1:5" s="1" customFormat="1" ht="15" customHeight="1" x14ac:dyDescent="0.2">
      <c r="A69" s="13" t="s">
        <v>124</v>
      </c>
      <c r="B69" s="13" t="s">
        <v>125</v>
      </c>
      <c r="C69" s="92">
        <v>55108</v>
      </c>
      <c r="D69" s="92">
        <v>55108</v>
      </c>
      <c r="E69" s="93" t="s">
        <v>199</v>
      </c>
    </row>
    <row r="70" spans="1:5" s="1" customFormat="1" ht="15" customHeight="1" x14ac:dyDescent="0.2">
      <c r="A70" s="13" t="s">
        <v>126</v>
      </c>
      <c r="B70" s="13" t="s">
        <v>127</v>
      </c>
      <c r="C70" s="92">
        <v>2974</v>
      </c>
      <c r="D70" s="92">
        <v>2974</v>
      </c>
      <c r="E70" s="93" t="s">
        <v>199</v>
      </c>
    </row>
    <row r="71" spans="1:5" ht="15" customHeight="1" x14ac:dyDescent="0.2">
      <c r="A71" s="13" t="s">
        <v>128</v>
      </c>
      <c r="B71" s="13" t="s">
        <v>129</v>
      </c>
      <c r="C71" s="92">
        <v>43289</v>
      </c>
      <c r="D71" s="92">
        <v>43289</v>
      </c>
      <c r="E71" s="93" t="s">
        <v>199</v>
      </c>
    </row>
    <row r="72" spans="1:5" ht="15" customHeight="1" x14ac:dyDescent="0.2">
      <c r="A72" s="13" t="s">
        <v>130</v>
      </c>
      <c r="B72" s="13" t="s">
        <v>131</v>
      </c>
      <c r="C72" s="92">
        <v>218748</v>
      </c>
      <c r="D72" s="92">
        <f>C72-E72</f>
        <v>127137</v>
      </c>
      <c r="E72" s="93">
        <v>91611</v>
      </c>
    </row>
    <row r="73" spans="1:5" ht="15" customHeight="1" x14ac:dyDescent="0.2">
      <c r="A73" s="13" t="s">
        <v>132</v>
      </c>
      <c r="B73" s="13" t="s">
        <v>133</v>
      </c>
      <c r="C73" s="92">
        <v>187013</v>
      </c>
      <c r="D73" s="92">
        <v>157367</v>
      </c>
      <c r="E73" s="93">
        <v>29646</v>
      </c>
    </row>
    <row r="74" spans="1:5" ht="15" customHeight="1" x14ac:dyDescent="0.2">
      <c r="A74" s="13" t="s">
        <v>134</v>
      </c>
      <c r="B74" s="13" t="s">
        <v>135</v>
      </c>
      <c r="C74" s="92">
        <v>266338</v>
      </c>
      <c r="D74" s="92">
        <v>82915</v>
      </c>
      <c r="E74" s="93">
        <v>183423</v>
      </c>
    </row>
    <row r="75" spans="1:5" ht="15" customHeight="1" x14ac:dyDescent="0.2">
      <c r="A75" s="13" t="s">
        <v>136</v>
      </c>
      <c r="B75" s="13" t="s">
        <v>137</v>
      </c>
      <c r="C75" s="92">
        <v>271305</v>
      </c>
      <c r="D75" s="92">
        <v>248928</v>
      </c>
      <c r="E75" s="93">
        <v>22377</v>
      </c>
    </row>
    <row r="76" spans="1:5" ht="15" customHeight="1" x14ac:dyDescent="0.2">
      <c r="A76" s="13" t="s">
        <v>138</v>
      </c>
      <c r="B76" s="13" t="s">
        <v>139</v>
      </c>
      <c r="C76" s="92">
        <v>45141</v>
      </c>
      <c r="D76" s="92">
        <v>45141</v>
      </c>
      <c r="E76" s="93" t="s">
        <v>199</v>
      </c>
    </row>
    <row r="77" spans="1:5" ht="15" customHeight="1" x14ac:dyDescent="0.2">
      <c r="A77" s="13" t="s">
        <v>140</v>
      </c>
      <c r="B77" s="13" t="s">
        <v>141</v>
      </c>
      <c r="C77" s="92">
        <v>78426</v>
      </c>
      <c r="D77" s="92">
        <v>55628</v>
      </c>
      <c r="E77" s="93">
        <v>22798</v>
      </c>
    </row>
    <row r="78" spans="1:5" ht="15" customHeight="1" x14ac:dyDescent="0.2">
      <c r="A78" s="13" t="s">
        <v>142</v>
      </c>
      <c r="B78" s="13" t="s">
        <v>143</v>
      </c>
      <c r="C78" s="92">
        <v>180237</v>
      </c>
      <c r="D78" s="92">
        <f>C78-E78</f>
        <v>121265.9</v>
      </c>
      <c r="E78" s="93">
        <v>58971.1</v>
      </c>
    </row>
    <row r="79" spans="1:5" ht="15" customHeight="1" x14ac:dyDescent="0.2">
      <c r="A79" s="13" t="s">
        <v>144</v>
      </c>
      <c r="B79" s="13" t="s">
        <v>145</v>
      </c>
      <c r="C79" s="92">
        <v>179847</v>
      </c>
      <c r="D79" s="92">
        <f>C79-E79</f>
        <v>119614.9</v>
      </c>
      <c r="E79" s="93">
        <v>60232.1</v>
      </c>
    </row>
    <row r="80" spans="1:5" ht="15" customHeight="1" x14ac:dyDescent="0.2">
      <c r="A80" s="13" t="s">
        <v>146</v>
      </c>
      <c r="B80" s="13" t="s">
        <v>147</v>
      </c>
      <c r="C80" s="92">
        <v>112617</v>
      </c>
      <c r="D80" s="92">
        <v>112617</v>
      </c>
      <c r="E80" s="93" t="s">
        <v>199</v>
      </c>
    </row>
    <row r="81" spans="1:5" ht="15" customHeight="1" x14ac:dyDescent="0.2">
      <c r="A81" s="13" t="s">
        <v>148</v>
      </c>
      <c r="B81" s="13" t="s">
        <v>149</v>
      </c>
      <c r="C81" s="92">
        <v>159234</v>
      </c>
      <c r="D81" s="92">
        <f>C81-E81</f>
        <v>79628.899999999994</v>
      </c>
      <c r="E81" s="93">
        <v>79605.100000000006</v>
      </c>
    </row>
    <row r="82" spans="1:5" ht="15" customHeight="1" x14ac:dyDescent="0.2">
      <c r="A82" s="13" t="s">
        <v>150</v>
      </c>
      <c r="B82" s="13" t="s">
        <v>151</v>
      </c>
      <c r="C82" s="92">
        <v>27032</v>
      </c>
      <c r="D82" s="92">
        <v>27032</v>
      </c>
      <c r="E82" s="93" t="s">
        <v>199</v>
      </c>
    </row>
    <row r="83" spans="1:5" ht="15" customHeight="1" x14ac:dyDescent="0.2">
      <c r="A83" s="13" t="s">
        <v>152</v>
      </c>
      <c r="B83" s="13" t="s">
        <v>153</v>
      </c>
      <c r="C83" s="92">
        <v>14850</v>
      </c>
      <c r="D83" s="92">
        <v>14850</v>
      </c>
      <c r="E83" s="93" t="s">
        <v>199</v>
      </c>
    </row>
    <row r="84" spans="1:5" ht="15" customHeight="1" x14ac:dyDescent="0.2">
      <c r="A84" s="13" t="s">
        <v>154</v>
      </c>
      <c r="B84" s="13" t="s">
        <v>155</v>
      </c>
      <c r="C84" s="92">
        <v>325359</v>
      </c>
      <c r="D84" s="92">
        <f>C84-E84</f>
        <v>260084.9</v>
      </c>
      <c r="E84" s="93">
        <v>65274.1</v>
      </c>
    </row>
    <row r="85" spans="1:5" ht="15" customHeight="1" x14ac:dyDescent="0.2">
      <c r="A85" s="13" t="s">
        <v>156</v>
      </c>
      <c r="B85" s="13" t="s">
        <v>157</v>
      </c>
      <c r="C85" s="92">
        <v>204804</v>
      </c>
      <c r="D85" s="92">
        <v>72414</v>
      </c>
      <c r="E85" s="93">
        <v>132390</v>
      </c>
    </row>
    <row r="86" spans="1:5" ht="15" customHeight="1" x14ac:dyDescent="0.2">
      <c r="A86" s="13" t="s">
        <v>158</v>
      </c>
      <c r="B86" s="13" t="s">
        <v>159</v>
      </c>
      <c r="C86" s="92">
        <v>114919</v>
      </c>
      <c r="D86" s="92">
        <f>C86-E86</f>
        <v>74190.899999999994</v>
      </c>
      <c r="E86" s="93">
        <v>40728.1</v>
      </c>
    </row>
    <row r="87" spans="1:5" ht="15" customHeight="1" x14ac:dyDescent="0.2">
      <c r="A87" s="13" t="s">
        <v>160</v>
      </c>
      <c r="B87" s="13" t="s">
        <v>161</v>
      </c>
      <c r="C87" s="92">
        <v>297105</v>
      </c>
      <c r="D87" s="92">
        <v>217283</v>
      </c>
      <c r="E87" s="93">
        <v>79822</v>
      </c>
    </row>
    <row r="88" spans="1:5" ht="15" customHeight="1" thickBot="1" x14ac:dyDescent="0.25">
      <c r="A88" s="15" t="s">
        <v>162</v>
      </c>
      <c r="B88" s="15" t="s">
        <v>163</v>
      </c>
      <c r="C88" s="25">
        <v>232264</v>
      </c>
      <c r="D88" s="25">
        <v>117752</v>
      </c>
      <c r="E88" s="88">
        <v>114512</v>
      </c>
    </row>
    <row r="89" spans="1:5" x14ac:dyDescent="0.2">
      <c r="A89" s="16" t="s">
        <v>165</v>
      </c>
      <c r="B89" s="17"/>
      <c r="C89" s="17"/>
      <c r="D89" s="104" t="s">
        <v>168</v>
      </c>
      <c r="E89" s="104"/>
    </row>
    <row r="90" spans="1:5" x14ac:dyDescent="0.2">
      <c r="A90" s="18" t="s">
        <v>164</v>
      </c>
      <c r="B90" s="19"/>
      <c r="C90" s="19"/>
      <c r="D90" s="21" t="s">
        <v>172</v>
      </c>
      <c r="E90" s="21"/>
    </row>
    <row r="91" spans="1:5" x14ac:dyDescent="0.2">
      <c r="A91" s="18"/>
      <c r="B91" s="19"/>
      <c r="C91" s="19"/>
      <c r="D91" s="21"/>
      <c r="E91" s="21"/>
    </row>
  </sheetData>
  <mergeCells count="3">
    <mergeCell ref="D4:E4"/>
    <mergeCell ref="D89:E89"/>
    <mergeCell ref="A6:B6"/>
  </mergeCells>
  <pageMargins left="0.78740157480314965" right="0.78740157480314965" top="0.78740157480314965" bottom="0.78740157480314965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0"/>
  <sheetViews>
    <sheetView workbookViewId="0">
      <selection activeCell="C38" sqref="C38"/>
    </sheetView>
  </sheetViews>
  <sheetFormatPr defaultRowHeight="12.75" x14ac:dyDescent="0.2"/>
  <cols>
    <col min="1" max="1" width="10.7109375" style="47" customWidth="1"/>
    <col min="2" max="2" width="16.5703125" style="47" customWidth="1"/>
    <col min="3" max="3" width="23.140625" style="63" customWidth="1"/>
    <col min="4" max="4" width="20.7109375" style="63" customWidth="1"/>
    <col min="5" max="5" width="18.28515625" style="64" customWidth="1"/>
    <col min="6" max="142" width="9.140625" style="47"/>
    <col min="143" max="143" width="5.140625" style="47" customWidth="1"/>
    <col min="144" max="144" width="1.85546875" style="47" customWidth="1"/>
    <col min="145" max="156" width="8.28515625" style="47" customWidth="1"/>
    <col min="157" max="157" width="6.28515625" style="47" bestFit="1" customWidth="1"/>
    <col min="158" max="158" width="8" style="47" customWidth="1"/>
    <col min="159" max="159" width="8.28515625" style="47" customWidth="1"/>
    <col min="160" max="398" width="9.140625" style="47"/>
    <col min="399" max="399" width="5.140625" style="47" customWidth="1"/>
    <col min="400" max="400" width="1.85546875" style="47" customWidth="1"/>
    <col min="401" max="412" width="8.28515625" style="47" customWidth="1"/>
    <col min="413" max="413" width="6.28515625" style="47" bestFit="1" customWidth="1"/>
    <col min="414" max="414" width="8" style="47" customWidth="1"/>
    <col min="415" max="415" width="8.28515625" style="47" customWidth="1"/>
    <col min="416" max="654" width="9.140625" style="47"/>
    <col min="655" max="655" width="5.140625" style="47" customWidth="1"/>
    <col min="656" max="656" width="1.85546875" style="47" customWidth="1"/>
    <col min="657" max="668" width="8.28515625" style="47" customWidth="1"/>
    <col min="669" max="669" width="6.28515625" style="47" bestFit="1" customWidth="1"/>
    <col min="670" max="670" width="8" style="47" customWidth="1"/>
    <col min="671" max="671" width="8.28515625" style="47" customWidth="1"/>
    <col min="672" max="910" width="9.140625" style="47"/>
    <col min="911" max="911" width="5.140625" style="47" customWidth="1"/>
    <col min="912" max="912" width="1.85546875" style="47" customWidth="1"/>
    <col min="913" max="924" width="8.28515625" style="47" customWidth="1"/>
    <col min="925" max="925" width="6.28515625" style="47" bestFit="1" customWidth="1"/>
    <col min="926" max="926" width="8" style="47" customWidth="1"/>
    <col min="927" max="927" width="8.28515625" style="47" customWidth="1"/>
    <col min="928" max="1166" width="9.140625" style="47"/>
    <col min="1167" max="1167" width="5.140625" style="47" customWidth="1"/>
    <col min="1168" max="1168" width="1.85546875" style="47" customWidth="1"/>
    <col min="1169" max="1180" width="8.28515625" style="47" customWidth="1"/>
    <col min="1181" max="1181" width="6.28515625" style="47" bestFit="1" customWidth="1"/>
    <col min="1182" max="1182" width="8" style="47" customWidth="1"/>
    <col min="1183" max="1183" width="8.28515625" style="47" customWidth="1"/>
    <col min="1184" max="1422" width="9.140625" style="47"/>
    <col min="1423" max="1423" width="5.140625" style="47" customWidth="1"/>
    <col min="1424" max="1424" width="1.85546875" style="47" customWidth="1"/>
    <col min="1425" max="1436" width="8.28515625" style="47" customWidth="1"/>
    <col min="1437" max="1437" width="6.28515625" style="47" bestFit="1" customWidth="1"/>
    <col min="1438" max="1438" width="8" style="47" customWidth="1"/>
    <col min="1439" max="1439" width="8.28515625" style="47" customWidth="1"/>
    <col min="1440" max="1678" width="9.140625" style="47"/>
    <col min="1679" max="1679" width="5.140625" style="47" customWidth="1"/>
    <col min="1680" max="1680" width="1.85546875" style="47" customWidth="1"/>
    <col min="1681" max="1692" width="8.28515625" style="47" customWidth="1"/>
    <col min="1693" max="1693" width="6.28515625" style="47" bestFit="1" customWidth="1"/>
    <col min="1694" max="1694" width="8" style="47" customWidth="1"/>
    <col min="1695" max="1695" width="8.28515625" style="47" customWidth="1"/>
    <col min="1696" max="1934" width="9.140625" style="47"/>
    <col min="1935" max="1935" width="5.140625" style="47" customWidth="1"/>
    <col min="1936" max="1936" width="1.85546875" style="47" customWidth="1"/>
    <col min="1937" max="1948" width="8.28515625" style="47" customWidth="1"/>
    <col min="1949" max="1949" width="6.28515625" style="47" bestFit="1" customWidth="1"/>
    <col min="1950" max="1950" width="8" style="47" customWidth="1"/>
    <col min="1951" max="1951" width="8.28515625" style="47" customWidth="1"/>
    <col min="1952" max="2190" width="9.140625" style="47"/>
    <col min="2191" max="2191" width="5.140625" style="47" customWidth="1"/>
    <col min="2192" max="2192" width="1.85546875" style="47" customWidth="1"/>
    <col min="2193" max="2204" width="8.28515625" style="47" customWidth="1"/>
    <col min="2205" max="2205" width="6.28515625" style="47" bestFit="1" customWidth="1"/>
    <col min="2206" max="2206" width="8" style="47" customWidth="1"/>
    <col min="2207" max="2207" width="8.28515625" style="47" customWidth="1"/>
    <col min="2208" max="2446" width="9.140625" style="47"/>
    <col min="2447" max="2447" width="5.140625" style="47" customWidth="1"/>
    <col min="2448" max="2448" width="1.85546875" style="47" customWidth="1"/>
    <col min="2449" max="2460" width="8.28515625" style="47" customWidth="1"/>
    <col min="2461" max="2461" width="6.28515625" style="47" bestFit="1" customWidth="1"/>
    <col min="2462" max="2462" width="8" style="47" customWidth="1"/>
    <col min="2463" max="2463" width="8.28515625" style="47" customWidth="1"/>
    <col min="2464" max="2702" width="9.140625" style="47"/>
    <col min="2703" max="2703" width="5.140625" style="47" customWidth="1"/>
    <col min="2704" max="2704" width="1.85546875" style="47" customWidth="1"/>
    <col min="2705" max="2716" width="8.28515625" style="47" customWidth="1"/>
    <col min="2717" max="2717" width="6.28515625" style="47" bestFit="1" customWidth="1"/>
    <col min="2718" max="2718" width="8" style="47" customWidth="1"/>
    <col min="2719" max="2719" width="8.28515625" style="47" customWidth="1"/>
    <col min="2720" max="2958" width="9.140625" style="47"/>
    <col min="2959" max="2959" width="5.140625" style="47" customWidth="1"/>
    <col min="2960" max="2960" width="1.85546875" style="47" customWidth="1"/>
    <col min="2961" max="2972" width="8.28515625" style="47" customWidth="1"/>
    <col min="2973" max="2973" width="6.28515625" style="47" bestFit="1" customWidth="1"/>
    <col min="2974" max="2974" width="8" style="47" customWidth="1"/>
    <col min="2975" max="2975" width="8.28515625" style="47" customWidth="1"/>
    <col min="2976" max="3214" width="9.140625" style="47"/>
    <col min="3215" max="3215" width="5.140625" style="47" customWidth="1"/>
    <col min="3216" max="3216" width="1.85546875" style="47" customWidth="1"/>
    <col min="3217" max="3228" width="8.28515625" style="47" customWidth="1"/>
    <col min="3229" max="3229" width="6.28515625" style="47" bestFit="1" customWidth="1"/>
    <col min="3230" max="3230" width="8" style="47" customWidth="1"/>
    <col min="3231" max="3231" width="8.28515625" style="47" customWidth="1"/>
    <col min="3232" max="3470" width="9.140625" style="47"/>
    <col min="3471" max="3471" width="5.140625" style="47" customWidth="1"/>
    <col min="3472" max="3472" width="1.85546875" style="47" customWidth="1"/>
    <col min="3473" max="3484" width="8.28515625" style="47" customWidth="1"/>
    <col min="3485" max="3485" width="6.28515625" style="47" bestFit="1" customWidth="1"/>
    <col min="3486" max="3486" width="8" style="47" customWidth="1"/>
    <col min="3487" max="3487" width="8.28515625" style="47" customWidth="1"/>
    <col min="3488" max="3726" width="9.140625" style="47"/>
    <col min="3727" max="3727" width="5.140625" style="47" customWidth="1"/>
    <col min="3728" max="3728" width="1.85546875" style="47" customWidth="1"/>
    <col min="3729" max="3740" width="8.28515625" style="47" customWidth="1"/>
    <col min="3741" max="3741" width="6.28515625" style="47" bestFit="1" customWidth="1"/>
    <col min="3742" max="3742" width="8" style="47" customWidth="1"/>
    <col min="3743" max="3743" width="8.28515625" style="47" customWidth="1"/>
    <col min="3744" max="3982" width="9.140625" style="47"/>
    <col min="3983" max="3983" width="5.140625" style="47" customWidth="1"/>
    <col min="3984" max="3984" width="1.85546875" style="47" customWidth="1"/>
    <col min="3985" max="3996" width="8.28515625" style="47" customWidth="1"/>
    <col min="3997" max="3997" width="6.28515625" style="47" bestFit="1" customWidth="1"/>
    <col min="3998" max="3998" width="8" style="47" customWidth="1"/>
    <col min="3999" max="3999" width="8.28515625" style="47" customWidth="1"/>
    <col min="4000" max="4238" width="9.140625" style="47"/>
    <col min="4239" max="4239" width="5.140625" style="47" customWidth="1"/>
    <col min="4240" max="4240" width="1.85546875" style="47" customWidth="1"/>
    <col min="4241" max="4252" width="8.28515625" style="47" customWidth="1"/>
    <col min="4253" max="4253" width="6.28515625" style="47" bestFit="1" customWidth="1"/>
    <col min="4254" max="4254" width="8" style="47" customWidth="1"/>
    <col min="4255" max="4255" width="8.28515625" style="47" customWidth="1"/>
    <col min="4256" max="4494" width="9.140625" style="47"/>
    <col min="4495" max="4495" width="5.140625" style="47" customWidth="1"/>
    <col min="4496" max="4496" width="1.85546875" style="47" customWidth="1"/>
    <col min="4497" max="4508" width="8.28515625" style="47" customWidth="1"/>
    <col min="4509" max="4509" width="6.28515625" style="47" bestFit="1" customWidth="1"/>
    <col min="4510" max="4510" width="8" style="47" customWidth="1"/>
    <col min="4511" max="4511" width="8.28515625" style="47" customWidth="1"/>
    <col min="4512" max="4750" width="9.140625" style="47"/>
    <col min="4751" max="4751" width="5.140625" style="47" customWidth="1"/>
    <col min="4752" max="4752" width="1.85546875" style="47" customWidth="1"/>
    <col min="4753" max="4764" width="8.28515625" style="47" customWidth="1"/>
    <col min="4765" max="4765" width="6.28515625" style="47" bestFit="1" customWidth="1"/>
    <col min="4766" max="4766" width="8" style="47" customWidth="1"/>
    <col min="4767" max="4767" width="8.28515625" style="47" customWidth="1"/>
    <col min="4768" max="5006" width="9.140625" style="47"/>
    <col min="5007" max="5007" width="5.140625" style="47" customWidth="1"/>
    <col min="5008" max="5008" width="1.85546875" style="47" customWidth="1"/>
    <col min="5009" max="5020" width="8.28515625" style="47" customWidth="1"/>
    <col min="5021" max="5021" width="6.28515625" style="47" bestFit="1" customWidth="1"/>
    <col min="5022" max="5022" width="8" style="47" customWidth="1"/>
    <col min="5023" max="5023" width="8.28515625" style="47" customWidth="1"/>
    <col min="5024" max="5262" width="9.140625" style="47"/>
    <col min="5263" max="5263" width="5.140625" style="47" customWidth="1"/>
    <col min="5264" max="5264" width="1.85546875" style="47" customWidth="1"/>
    <col min="5265" max="5276" width="8.28515625" style="47" customWidth="1"/>
    <col min="5277" max="5277" width="6.28515625" style="47" bestFit="1" customWidth="1"/>
    <col min="5278" max="5278" width="8" style="47" customWidth="1"/>
    <col min="5279" max="5279" width="8.28515625" style="47" customWidth="1"/>
    <col min="5280" max="5518" width="9.140625" style="47"/>
    <col min="5519" max="5519" width="5.140625" style="47" customWidth="1"/>
    <col min="5520" max="5520" width="1.85546875" style="47" customWidth="1"/>
    <col min="5521" max="5532" width="8.28515625" style="47" customWidth="1"/>
    <col min="5533" max="5533" width="6.28515625" style="47" bestFit="1" customWidth="1"/>
    <col min="5534" max="5534" width="8" style="47" customWidth="1"/>
    <col min="5535" max="5535" width="8.28515625" style="47" customWidth="1"/>
    <col min="5536" max="5774" width="9.140625" style="47"/>
    <col min="5775" max="5775" width="5.140625" style="47" customWidth="1"/>
    <col min="5776" max="5776" width="1.85546875" style="47" customWidth="1"/>
    <col min="5777" max="5788" width="8.28515625" style="47" customWidth="1"/>
    <col min="5789" max="5789" width="6.28515625" style="47" bestFit="1" customWidth="1"/>
    <col min="5790" max="5790" width="8" style="47" customWidth="1"/>
    <col min="5791" max="5791" width="8.28515625" style="47" customWidth="1"/>
    <col min="5792" max="6030" width="9.140625" style="47"/>
    <col min="6031" max="6031" width="5.140625" style="47" customWidth="1"/>
    <col min="6032" max="6032" width="1.85546875" style="47" customWidth="1"/>
    <col min="6033" max="6044" width="8.28515625" style="47" customWidth="1"/>
    <col min="6045" max="6045" width="6.28515625" style="47" bestFit="1" customWidth="1"/>
    <col min="6046" max="6046" width="8" style="47" customWidth="1"/>
    <col min="6047" max="6047" width="8.28515625" style="47" customWidth="1"/>
    <col min="6048" max="6286" width="9.140625" style="47"/>
    <col min="6287" max="6287" width="5.140625" style="47" customWidth="1"/>
    <col min="6288" max="6288" width="1.85546875" style="47" customWidth="1"/>
    <col min="6289" max="6300" width="8.28515625" style="47" customWidth="1"/>
    <col min="6301" max="6301" width="6.28515625" style="47" bestFit="1" customWidth="1"/>
    <col min="6302" max="6302" width="8" style="47" customWidth="1"/>
    <col min="6303" max="6303" width="8.28515625" style="47" customWidth="1"/>
    <col min="6304" max="6542" width="9.140625" style="47"/>
    <col min="6543" max="6543" width="5.140625" style="47" customWidth="1"/>
    <col min="6544" max="6544" width="1.85546875" style="47" customWidth="1"/>
    <col min="6545" max="6556" width="8.28515625" style="47" customWidth="1"/>
    <col min="6557" max="6557" width="6.28515625" style="47" bestFit="1" customWidth="1"/>
    <col min="6558" max="6558" width="8" style="47" customWidth="1"/>
    <col min="6559" max="6559" width="8.28515625" style="47" customWidth="1"/>
    <col min="6560" max="6798" width="9.140625" style="47"/>
    <col min="6799" max="6799" width="5.140625" style="47" customWidth="1"/>
    <col min="6800" max="6800" width="1.85546875" style="47" customWidth="1"/>
    <col min="6801" max="6812" width="8.28515625" style="47" customWidth="1"/>
    <col min="6813" max="6813" width="6.28515625" style="47" bestFit="1" customWidth="1"/>
    <col min="6814" max="6814" width="8" style="47" customWidth="1"/>
    <col min="6815" max="6815" width="8.28515625" style="47" customWidth="1"/>
    <col min="6816" max="7054" width="9.140625" style="47"/>
    <col min="7055" max="7055" width="5.140625" style="47" customWidth="1"/>
    <col min="7056" max="7056" width="1.85546875" style="47" customWidth="1"/>
    <col min="7057" max="7068" width="8.28515625" style="47" customWidth="1"/>
    <col min="7069" max="7069" width="6.28515625" style="47" bestFit="1" customWidth="1"/>
    <col min="7070" max="7070" width="8" style="47" customWidth="1"/>
    <col min="7071" max="7071" width="8.28515625" style="47" customWidth="1"/>
    <col min="7072" max="7310" width="9.140625" style="47"/>
    <col min="7311" max="7311" width="5.140625" style="47" customWidth="1"/>
    <col min="7312" max="7312" width="1.85546875" style="47" customWidth="1"/>
    <col min="7313" max="7324" width="8.28515625" style="47" customWidth="1"/>
    <col min="7325" max="7325" width="6.28515625" style="47" bestFit="1" customWidth="1"/>
    <col min="7326" max="7326" width="8" style="47" customWidth="1"/>
    <col min="7327" max="7327" width="8.28515625" style="47" customWidth="1"/>
    <col min="7328" max="7566" width="9.140625" style="47"/>
    <col min="7567" max="7567" width="5.140625" style="47" customWidth="1"/>
    <col min="7568" max="7568" width="1.85546875" style="47" customWidth="1"/>
    <col min="7569" max="7580" width="8.28515625" style="47" customWidth="1"/>
    <col min="7581" max="7581" width="6.28515625" style="47" bestFit="1" customWidth="1"/>
    <col min="7582" max="7582" width="8" style="47" customWidth="1"/>
    <col min="7583" max="7583" width="8.28515625" style="47" customWidth="1"/>
    <col min="7584" max="7822" width="9.140625" style="47"/>
    <col min="7823" max="7823" width="5.140625" style="47" customWidth="1"/>
    <col min="7824" max="7824" width="1.85546875" style="47" customWidth="1"/>
    <col min="7825" max="7836" width="8.28515625" style="47" customWidth="1"/>
    <col min="7837" max="7837" width="6.28515625" style="47" bestFit="1" customWidth="1"/>
    <col min="7838" max="7838" width="8" style="47" customWidth="1"/>
    <col min="7839" max="7839" width="8.28515625" style="47" customWidth="1"/>
    <col min="7840" max="8078" width="9.140625" style="47"/>
    <col min="8079" max="8079" width="5.140625" style="47" customWidth="1"/>
    <col min="8080" max="8080" width="1.85546875" style="47" customWidth="1"/>
    <col min="8081" max="8092" width="8.28515625" style="47" customWidth="1"/>
    <col min="8093" max="8093" width="6.28515625" style="47" bestFit="1" customWidth="1"/>
    <col min="8094" max="8094" width="8" style="47" customWidth="1"/>
    <col min="8095" max="8095" width="8.28515625" style="47" customWidth="1"/>
    <col min="8096" max="8334" width="9.140625" style="47"/>
    <col min="8335" max="8335" width="5.140625" style="47" customWidth="1"/>
    <col min="8336" max="8336" width="1.85546875" style="47" customWidth="1"/>
    <col min="8337" max="8348" width="8.28515625" style="47" customWidth="1"/>
    <col min="8349" max="8349" width="6.28515625" style="47" bestFit="1" customWidth="1"/>
    <col min="8350" max="8350" width="8" style="47" customWidth="1"/>
    <col min="8351" max="8351" width="8.28515625" style="47" customWidth="1"/>
    <col min="8352" max="8590" width="9.140625" style="47"/>
    <col min="8591" max="8591" width="5.140625" style="47" customWidth="1"/>
    <col min="8592" max="8592" width="1.85546875" style="47" customWidth="1"/>
    <col min="8593" max="8604" width="8.28515625" style="47" customWidth="1"/>
    <col min="8605" max="8605" width="6.28515625" style="47" bestFit="1" customWidth="1"/>
    <col min="8606" max="8606" width="8" style="47" customWidth="1"/>
    <col min="8607" max="8607" width="8.28515625" style="47" customWidth="1"/>
    <col min="8608" max="8846" width="9.140625" style="47"/>
    <col min="8847" max="8847" width="5.140625" style="47" customWidth="1"/>
    <col min="8848" max="8848" width="1.85546875" style="47" customWidth="1"/>
    <col min="8849" max="8860" width="8.28515625" style="47" customWidth="1"/>
    <col min="8861" max="8861" width="6.28515625" style="47" bestFit="1" customWidth="1"/>
    <col min="8862" max="8862" width="8" style="47" customWidth="1"/>
    <col min="8863" max="8863" width="8.28515625" style="47" customWidth="1"/>
    <col min="8864" max="9102" width="9.140625" style="47"/>
    <col min="9103" max="9103" width="5.140625" style="47" customWidth="1"/>
    <col min="9104" max="9104" width="1.85546875" style="47" customWidth="1"/>
    <col min="9105" max="9116" width="8.28515625" style="47" customWidth="1"/>
    <col min="9117" max="9117" width="6.28515625" style="47" bestFit="1" customWidth="1"/>
    <col min="9118" max="9118" width="8" style="47" customWidth="1"/>
    <col min="9119" max="9119" width="8.28515625" style="47" customWidth="1"/>
    <col min="9120" max="9358" width="9.140625" style="47"/>
    <col min="9359" max="9359" width="5.140625" style="47" customWidth="1"/>
    <col min="9360" max="9360" width="1.85546875" style="47" customWidth="1"/>
    <col min="9361" max="9372" width="8.28515625" style="47" customWidth="1"/>
    <col min="9373" max="9373" width="6.28515625" style="47" bestFit="1" customWidth="1"/>
    <col min="9374" max="9374" width="8" style="47" customWidth="1"/>
    <col min="9375" max="9375" width="8.28515625" style="47" customWidth="1"/>
    <col min="9376" max="9614" width="9.140625" style="47"/>
    <col min="9615" max="9615" width="5.140625" style="47" customWidth="1"/>
    <col min="9616" max="9616" width="1.85546875" style="47" customWidth="1"/>
    <col min="9617" max="9628" width="8.28515625" style="47" customWidth="1"/>
    <col min="9629" max="9629" width="6.28515625" style="47" bestFit="1" customWidth="1"/>
    <col min="9630" max="9630" width="8" style="47" customWidth="1"/>
    <col min="9631" max="9631" width="8.28515625" style="47" customWidth="1"/>
    <col min="9632" max="9870" width="9.140625" style="47"/>
    <col min="9871" max="9871" width="5.140625" style="47" customWidth="1"/>
    <col min="9872" max="9872" width="1.85546875" style="47" customWidth="1"/>
    <col min="9873" max="9884" width="8.28515625" style="47" customWidth="1"/>
    <col min="9885" max="9885" width="6.28515625" style="47" bestFit="1" customWidth="1"/>
    <col min="9886" max="9886" width="8" style="47" customWidth="1"/>
    <col min="9887" max="9887" width="8.28515625" style="47" customWidth="1"/>
    <col min="9888" max="10126" width="9.140625" style="47"/>
    <col min="10127" max="10127" width="5.140625" style="47" customWidth="1"/>
    <col min="10128" max="10128" width="1.85546875" style="47" customWidth="1"/>
    <col min="10129" max="10140" width="8.28515625" style="47" customWidth="1"/>
    <col min="10141" max="10141" width="6.28515625" style="47" bestFit="1" customWidth="1"/>
    <col min="10142" max="10142" width="8" style="47" customWidth="1"/>
    <col min="10143" max="10143" width="8.28515625" style="47" customWidth="1"/>
    <col min="10144" max="10382" width="9.140625" style="47"/>
    <col min="10383" max="10383" width="5.140625" style="47" customWidth="1"/>
    <col min="10384" max="10384" width="1.85546875" style="47" customWidth="1"/>
    <col min="10385" max="10396" width="8.28515625" style="47" customWidth="1"/>
    <col min="10397" max="10397" width="6.28515625" style="47" bestFit="1" customWidth="1"/>
    <col min="10398" max="10398" width="8" style="47" customWidth="1"/>
    <col min="10399" max="10399" width="8.28515625" style="47" customWidth="1"/>
    <col min="10400" max="10638" width="9.140625" style="47"/>
    <col min="10639" max="10639" width="5.140625" style="47" customWidth="1"/>
    <col min="10640" max="10640" width="1.85546875" style="47" customWidth="1"/>
    <col min="10641" max="10652" width="8.28515625" style="47" customWidth="1"/>
    <col min="10653" max="10653" width="6.28515625" style="47" bestFit="1" customWidth="1"/>
    <col min="10654" max="10654" width="8" style="47" customWidth="1"/>
    <col min="10655" max="10655" width="8.28515625" style="47" customWidth="1"/>
    <col min="10656" max="10894" width="9.140625" style="47"/>
    <col min="10895" max="10895" width="5.140625" style="47" customWidth="1"/>
    <col min="10896" max="10896" width="1.85546875" style="47" customWidth="1"/>
    <col min="10897" max="10908" width="8.28515625" style="47" customWidth="1"/>
    <col min="10909" max="10909" width="6.28515625" style="47" bestFit="1" customWidth="1"/>
    <col min="10910" max="10910" width="8" style="47" customWidth="1"/>
    <col min="10911" max="10911" width="8.28515625" style="47" customWidth="1"/>
    <col min="10912" max="11150" width="9.140625" style="47"/>
    <col min="11151" max="11151" width="5.140625" style="47" customWidth="1"/>
    <col min="11152" max="11152" width="1.85546875" style="47" customWidth="1"/>
    <col min="11153" max="11164" width="8.28515625" style="47" customWidth="1"/>
    <col min="11165" max="11165" width="6.28515625" style="47" bestFit="1" customWidth="1"/>
    <col min="11166" max="11166" width="8" style="47" customWidth="1"/>
    <col min="11167" max="11167" width="8.28515625" style="47" customWidth="1"/>
    <col min="11168" max="11406" width="9.140625" style="47"/>
    <col min="11407" max="11407" width="5.140625" style="47" customWidth="1"/>
    <col min="11408" max="11408" width="1.85546875" style="47" customWidth="1"/>
    <col min="11409" max="11420" width="8.28515625" style="47" customWidth="1"/>
    <col min="11421" max="11421" width="6.28515625" style="47" bestFit="1" customWidth="1"/>
    <col min="11422" max="11422" width="8" style="47" customWidth="1"/>
    <col min="11423" max="11423" width="8.28515625" style="47" customWidth="1"/>
    <col min="11424" max="11662" width="9.140625" style="47"/>
    <col min="11663" max="11663" width="5.140625" style="47" customWidth="1"/>
    <col min="11664" max="11664" width="1.85546875" style="47" customWidth="1"/>
    <col min="11665" max="11676" width="8.28515625" style="47" customWidth="1"/>
    <col min="11677" max="11677" width="6.28515625" style="47" bestFit="1" customWidth="1"/>
    <col min="11678" max="11678" width="8" style="47" customWidth="1"/>
    <col min="11679" max="11679" width="8.28515625" style="47" customWidth="1"/>
    <col min="11680" max="11918" width="9.140625" style="47"/>
    <col min="11919" max="11919" width="5.140625" style="47" customWidth="1"/>
    <col min="11920" max="11920" width="1.85546875" style="47" customWidth="1"/>
    <col min="11921" max="11932" width="8.28515625" style="47" customWidth="1"/>
    <col min="11933" max="11933" width="6.28515625" style="47" bestFit="1" customWidth="1"/>
    <col min="11934" max="11934" width="8" style="47" customWidth="1"/>
    <col min="11935" max="11935" width="8.28515625" style="47" customWidth="1"/>
    <col min="11936" max="12174" width="9.140625" style="47"/>
    <col min="12175" max="12175" width="5.140625" style="47" customWidth="1"/>
    <col min="12176" max="12176" width="1.85546875" style="47" customWidth="1"/>
    <col min="12177" max="12188" width="8.28515625" style="47" customWidth="1"/>
    <col min="12189" max="12189" width="6.28515625" style="47" bestFit="1" customWidth="1"/>
    <col min="12190" max="12190" width="8" style="47" customWidth="1"/>
    <col min="12191" max="12191" width="8.28515625" style="47" customWidth="1"/>
    <col min="12192" max="12430" width="9.140625" style="47"/>
    <col min="12431" max="12431" width="5.140625" style="47" customWidth="1"/>
    <col min="12432" max="12432" width="1.85546875" style="47" customWidth="1"/>
    <col min="12433" max="12444" width="8.28515625" style="47" customWidth="1"/>
    <col min="12445" max="12445" width="6.28515625" style="47" bestFit="1" customWidth="1"/>
    <col min="12446" max="12446" width="8" style="47" customWidth="1"/>
    <col min="12447" max="12447" width="8.28515625" style="47" customWidth="1"/>
    <col min="12448" max="12686" width="9.140625" style="47"/>
    <col min="12687" max="12687" width="5.140625" style="47" customWidth="1"/>
    <col min="12688" max="12688" width="1.85546875" style="47" customWidth="1"/>
    <col min="12689" max="12700" width="8.28515625" style="47" customWidth="1"/>
    <col min="12701" max="12701" width="6.28515625" style="47" bestFit="1" customWidth="1"/>
    <col min="12702" max="12702" width="8" style="47" customWidth="1"/>
    <col min="12703" max="12703" width="8.28515625" style="47" customWidth="1"/>
    <col min="12704" max="12942" width="9.140625" style="47"/>
    <col min="12943" max="12943" width="5.140625" style="47" customWidth="1"/>
    <col min="12944" max="12944" width="1.85546875" style="47" customWidth="1"/>
    <col min="12945" max="12956" width="8.28515625" style="47" customWidth="1"/>
    <col min="12957" max="12957" width="6.28515625" style="47" bestFit="1" customWidth="1"/>
    <col min="12958" max="12958" width="8" style="47" customWidth="1"/>
    <col min="12959" max="12959" width="8.28515625" style="47" customWidth="1"/>
    <col min="12960" max="13198" width="9.140625" style="47"/>
    <col min="13199" max="13199" width="5.140625" style="47" customWidth="1"/>
    <col min="13200" max="13200" width="1.85546875" style="47" customWidth="1"/>
    <col min="13201" max="13212" width="8.28515625" style="47" customWidth="1"/>
    <col min="13213" max="13213" width="6.28515625" style="47" bestFit="1" customWidth="1"/>
    <col min="13214" max="13214" width="8" style="47" customWidth="1"/>
    <col min="13215" max="13215" width="8.28515625" style="47" customWidth="1"/>
    <col min="13216" max="13454" width="9.140625" style="47"/>
    <col min="13455" max="13455" width="5.140625" style="47" customWidth="1"/>
    <col min="13456" max="13456" width="1.85546875" style="47" customWidth="1"/>
    <col min="13457" max="13468" width="8.28515625" style="47" customWidth="1"/>
    <col min="13469" max="13469" width="6.28515625" style="47" bestFit="1" customWidth="1"/>
    <col min="13470" max="13470" width="8" style="47" customWidth="1"/>
    <col min="13471" max="13471" width="8.28515625" style="47" customWidth="1"/>
    <col min="13472" max="13710" width="9.140625" style="47"/>
    <col min="13711" max="13711" width="5.140625" style="47" customWidth="1"/>
    <col min="13712" max="13712" width="1.85546875" style="47" customWidth="1"/>
    <col min="13713" max="13724" width="8.28515625" style="47" customWidth="1"/>
    <col min="13725" max="13725" width="6.28515625" style="47" bestFit="1" customWidth="1"/>
    <col min="13726" max="13726" width="8" style="47" customWidth="1"/>
    <col min="13727" max="13727" width="8.28515625" style="47" customWidth="1"/>
    <col min="13728" max="13966" width="9.140625" style="47"/>
    <col min="13967" max="13967" width="5.140625" style="47" customWidth="1"/>
    <col min="13968" max="13968" width="1.85546875" style="47" customWidth="1"/>
    <col min="13969" max="13980" width="8.28515625" style="47" customWidth="1"/>
    <col min="13981" max="13981" width="6.28515625" style="47" bestFit="1" customWidth="1"/>
    <col min="13982" max="13982" width="8" style="47" customWidth="1"/>
    <col min="13983" max="13983" width="8.28515625" style="47" customWidth="1"/>
    <col min="13984" max="14222" width="9.140625" style="47"/>
    <col min="14223" max="14223" width="5.140625" style="47" customWidth="1"/>
    <col min="14224" max="14224" width="1.85546875" style="47" customWidth="1"/>
    <col min="14225" max="14236" width="8.28515625" style="47" customWidth="1"/>
    <col min="14237" max="14237" width="6.28515625" style="47" bestFit="1" customWidth="1"/>
    <col min="14238" max="14238" width="8" style="47" customWidth="1"/>
    <col min="14239" max="14239" width="8.28515625" style="47" customWidth="1"/>
    <col min="14240" max="14478" width="9.140625" style="47"/>
    <col min="14479" max="14479" width="5.140625" style="47" customWidth="1"/>
    <col min="14480" max="14480" width="1.85546875" style="47" customWidth="1"/>
    <col min="14481" max="14492" width="8.28515625" style="47" customWidth="1"/>
    <col min="14493" max="14493" width="6.28515625" style="47" bestFit="1" customWidth="1"/>
    <col min="14494" max="14494" width="8" style="47" customWidth="1"/>
    <col min="14495" max="14495" width="8.28515625" style="47" customWidth="1"/>
    <col min="14496" max="14734" width="9.140625" style="47"/>
    <col min="14735" max="14735" width="5.140625" style="47" customWidth="1"/>
    <col min="14736" max="14736" width="1.85546875" style="47" customWidth="1"/>
    <col min="14737" max="14748" width="8.28515625" style="47" customWidth="1"/>
    <col min="14749" max="14749" width="6.28515625" style="47" bestFit="1" customWidth="1"/>
    <col min="14750" max="14750" width="8" style="47" customWidth="1"/>
    <col min="14751" max="14751" width="8.28515625" style="47" customWidth="1"/>
    <col min="14752" max="14990" width="9.140625" style="47"/>
    <col min="14991" max="14991" width="5.140625" style="47" customWidth="1"/>
    <col min="14992" max="14992" width="1.85546875" style="47" customWidth="1"/>
    <col min="14993" max="15004" width="8.28515625" style="47" customWidth="1"/>
    <col min="15005" max="15005" width="6.28515625" style="47" bestFit="1" customWidth="1"/>
    <col min="15006" max="15006" width="8" style="47" customWidth="1"/>
    <col min="15007" max="15007" width="8.28515625" style="47" customWidth="1"/>
    <col min="15008" max="15246" width="9.140625" style="47"/>
    <col min="15247" max="15247" width="5.140625" style="47" customWidth="1"/>
    <col min="15248" max="15248" width="1.85546875" style="47" customWidth="1"/>
    <col min="15249" max="15260" width="8.28515625" style="47" customWidth="1"/>
    <col min="15261" max="15261" width="6.28515625" style="47" bestFit="1" customWidth="1"/>
    <col min="15262" max="15262" width="8" style="47" customWidth="1"/>
    <col min="15263" max="15263" width="8.28515625" style="47" customWidth="1"/>
    <col min="15264" max="15502" width="9.140625" style="47"/>
    <col min="15503" max="15503" width="5.140625" style="47" customWidth="1"/>
    <col min="15504" max="15504" width="1.85546875" style="47" customWidth="1"/>
    <col min="15505" max="15516" width="8.28515625" style="47" customWidth="1"/>
    <col min="15517" max="15517" width="6.28515625" style="47" bestFit="1" customWidth="1"/>
    <col min="15518" max="15518" width="8" style="47" customWidth="1"/>
    <col min="15519" max="15519" width="8.28515625" style="47" customWidth="1"/>
    <col min="15520" max="15758" width="9.140625" style="47"/>
    <col min="15759" max="15759" width="5.140625" style="47" customWidth="1"/>
    <col min="15760" max="15760" width="1.85546875" style="47" customWidth="1"/>
    <col min="15761" max="15772" width="8.28515625" style="47" customWidth="1"/>
    <col min="15773" max="15773" width="6.28515625" style="47" bestFit="1" customWidth="1"/>
    <col min="15774" max="15774" width="8" style="47" customWidth="1"/>
    <col min="15775" max="15775" width="8.28515625" style="47" customWidth="1"/>
    <col min="15776" max="16014" width="9.140625" style="47"/>
    <col min="16015" max="16015" width="5.140625" style="47" customWidth="1"/>
    <col min="16016" max="16016" width="1.85546875" style="47" customWidth="1"/>
    <col min="16017" max="16028" width="8.28515625" style="47" customWidth="1"/>
    <col min="16029" max="16029" width="6.28515625" style="47" bestFit="1" customWidth="1"/>
    <col min="16030" max="16030" width="8" style="47" customWidth="1"/>
    <col min="16031" max="16031" width="8.28515625" style="47" customWidth="1"/>
    <col min="16032" max="16384" width="9.140625" style="47"/>
  </cols>
  <sheetData>
    <row r="1" spans="1:5" s="29" customFormat="1" x14ac:dyDescent="0.2">
      <c r="A1" s="27" t="s">
        <v>195</v>
      </c>
      <c r="B1" s="27"/>
      <c r="C1" s="28"/>
      <c r="D1" s="28"/>
      <c r="E1" s="28"/>
    </row>
    <row r="2" spans="1:5" s="29" customFormat="1" ht="15.75" customHeight="1" thickBot="1" x14ac:dyDescent="0.25">
      <c r="A2" s="86" t="s">
        <v>196</v>
      </c>
      <c r="B2" s="86"/>
      <c r="C2" s="86"/>
      <c r="D2" s="30"/>
      <c r="E2" s="31" t="s">
        <v>175</v>
      </c>
    </row>
    <row r="3" spans="1:5" s="34" customFormat="1" ht="15.95" customHeight="1" x14ac:dyDescent="0.15">
      <c r="A3" s="32"/>
      <c r="B3" s="33"/>
      <c r="D3" s="106" t="s">
        <v>176</v>
      </c>
      <c r="E3" s="106"/>
    </row>
    <row r="4" spans="1:5" s="34" customFormat="1" ht="15.75" customHeight="1" x14ac:dyDescent="0.15">
      <c r="A4" s="35"/>
      <c r="B4" s="36"/>
      <c r="C4" s="37" t="s">
        <v>177</v>
      </c>
      <c r="D4" s="38" t="s">
        <v>173</v>
      </c>
      <c r="E4" s="39" t="s">
        <v>178</v>
      </c>
    </row>
    <row r="5" spans="1:5" s="34" customFormat="1" ht="24.75" customHeight="1" x14ac:dyDescent="0.15">
      <c r="A5" s="107" t="s">
        <v>201</v>
      </c>
      <c r="B5" s="107"/>
      <c r="C5" s="40" t="s">
        <v>179</v>
      </c>
      <c r="D5" s="40" t="s">
        <v>180</v>
      </c>
      <c r="E5" s="40" t="s">
        <v>181</v>
      </c>
    </row>
    <row r="6" spans="1:5" s="34" customFormat="1" ht="15" customHeight="1" x14ac:dyDescent="0.15">
      <c r="A6" s="41" t="s">
        <v>0</v>
      </c>
      <c r="B6" s="41" t="s">
        <v>1</v>
      </c>
      <c r="C6" s="100">
        <v>1798061769.0000002</v>
      </c>
      <c r="D6" s="100">
        <v>1782405848.0000002</v>
      </c>
      <c r="E6" s="100">
        <v>15655921</v>
      </c>
    </row>
    <row r="7" spans="1:5" s="34" customFormat="1" ht="15" customHeight="1" x14ac:dyDescent="0.15">
      <c r="A7" s="42" t="s">
        <v>2</v>
      </c>
      <c r="B7" s="42" t="s">
        <v>3</v>
      </c>
      <c r="C7" s="97">
        <v>16605444.009078413</v>
      </c>
      <c r="D7" s="98">
        <v>16605444.009078413</v>
      </c>
      <c r="E7" s="99" t="s">
        <v>199</v>
      </c>
    </row>
    <row r="8" spans="1:5" s="44" customFormat="1" ht="15" customHeight="1" x14ac:dyDescent="0.15">
      <c r="A8" s="42" t="s">
        <v>4</v>
      </c>
      <c r="B8" s="42" t="s">
        <v>5</v>
      </c>
      <c r="C8" s="97">
        <v>4052803</v>
      </c>
      <c r="D8" s="98">
        <v>4052803</v>
      </c>
      <c r="E8" s="99" t="s">
        <v>199</v>
      </c>
    </row>
    <row r="9" spans="1:5" s="29" customFormat="1" ht="15" customHeight="1" x14ac:dyDescent="0.2">
      <c r="A9" s="42" t="s">
        <v>6</v>
      </c>
      <c r="B9" s="42" t="s">
        <v>7</v>
      </c>
      <c r="C9" s="97">
        <v>6441356</v>
      </c>
      <c r="D9" s="98">
        <v>6441356</v>
      </c>
      <c r="E9" s="99" t="s">
        <v>199</v>
      </c>
    </row>
    <row r="10" spans="1:5" s="29" customFormat="1" ht="15" customHeight="1" x14ac:dyDescent="0.2">
      <c r="A10" s="42" t="s">
        <v>8</v>
      </c>
      <c r="B10" s="42" t="s">
        <v>9</v>
      </c>
      <c r="C10" s="97">
        <v>38120815.467524633</v>
      </c>
      <c r="D10" s="98">
        <v>38120815.467524633</v>
      </c>
      <c r="E10" s="99" t="s">
        <v>199</v>
      </c>
    </row>
    <row r="11" spans="1:5" s="29" customFormat="1" ht="15" customHeight="1" x14ac:dyDescent="0.2">
      <c r="A11" s="42" t="s">
        <v>10</v>
      </c>
      <c r="B11" s="42" t="s">
        <v>11</v>
      </c>
      <c r="C11" s="97">
        <v>65214236.31387794</v>
      </c>
      <c r="D11" s="98">
        <v>65214236.31387794</v>
      </c>
      <c r="E11" s="99" t="s">
        <v>199</v>
      </c>
    </row>
    <row r="12" spans="1:5" s="29" customFormat="1" ht="15" customHeight="1" x14ac:dyDescent="0.2">
      <c r="A12" s="42" t="s">
        <v>12</v>
      </c>
      <c r="B12" s="42" t="s">
        <v>13</v>
      </c>
      <c r="C12" s="97">
        <v>55701422</v>
      </c>
      <c r="D12" s="98">
        <v>55701422</v>
      </c>
      <c r="E12" s="99" t="s">
        <v>199</v>
      </c>
    </row>
    <row r="13" spans="1:5" s="29" customFormat="1" ht="15" customHeight="1" x14ac:dyDescent="0.2">
      <c r="A13" s="42" t="s">
        <v>14</v>
      </c>
      <c r="B13" s="42" t="s">
        <v>15</v>
      </c>
      <c r="C13" s="97">
        <v>25694111</v>
      </c>
      <c r="D13" s="98">
        <v>25694111</v>
      </c>
      <c r="E13" s="99" t="s">
        <v>199</v>
      </c>
    </row>
    <row r="14" spans="1:5" s="29" customFormat="1" ht="15" customHeight="1" x14ac:dyDescent="0.2">
      <c r="A14" s="42" t="s">
        <v>16</v>
      </c>
      <c r="B14" s="42" t="s">
        <v>17</v>
      </c>
      <c r="C14" s="97">
        <v>18474607.641960826</v>
      </c>
      <c r="D14" s="98">
        <v>18474607.641960826</v>
      </c>
      <c r="E14" s="99" t="s">
        <v>199</v>
      </c>
    </row>
    <row r="15" spans="1:5" s="45" customFormat="1" ht="15" customHeight="1" x14ac:dyDescent="0.2">
      <c r="A15" s="42" t="s">
        <v>18</v>
      </c>
      <c r="B15" s="42" t="s">
        <v>19</v>
      </c>
      <c r="C15" s="97">
        <v>35287979.084432699</v>
      </c>
      <c r="D15" s="98">
        <v>35287979.084432699</v>
      </c>
      <c r="E15" s="99" t="s">
        <v>199</v>
      </c>
    </row>
    <row r="16" spans="1:5" s="45" customFormat="1" ht="15" customHeight="1" x14ac:dyDescent="0.2">
      <c r="A16" s="42" t="s">
        <v>20</v>
      </c>
      <c r="B16" s="42" t="s">
        <v>21</v>
      </c>
      <c r="C16" s="97">
        <v>69891728.12358126</v>
      </c>
      <c r="D16" s="98">
        <v>69891728.12358126</v>
      </c>
      <c r="E16" s="99" t="s">
        <v>199</v>
      </c>
    </row>
    <row r="17" spans="1:5" s="45" customFormat="1" ht="15" customHeight="1" x14ac:dyDescent="0.2">
      <c r="A17" s="42" t="s">
        <v>22</v>
      </c>
      <c r="B17" s="42" t="s">
        <v>23</v>
      </c>
      <c r="C17" s="97">
        <v>24451882</v>
      </c>
      <c r="D17" s="98">
        <v>24451882</v>
      </c>
      <c r="E17" s="99" t="s">
        <v>199</v>
      </c>
    </row>
    <row r="18" spans="1:5" s="45" customFormat="1" ht="15" customHeight="1" x14ac:dyDescent="0.2">
      <c r="A18" s="42" t="s">
        <v>24</v>
      </c>
      <c r="B18" s="42" t="s">
        <v>25</v>
      </c>
      <c r="C18" s="97">
        <v>7683110</v>
      </c>
      <c r="D18" s="98">
        <v>7683110</v>
      </c>
      <c r="E18" s="99" t="s">
        <v>199</v>
      </c>
    </row>
    <row r="19" spans="1:5" s="45" customFormat="1" ht="15" customHeight="1" x14ac:dyDescent="0.2">
      <c r="A19" s="42" t="s">
        <v>26</v>
      </c>
      <c r="B19" s="42" t="s">
        <v>27</v>
      </c>
      <c r="C19" s="97">
        <v>51484225</v>
      </c>
      <c r="D19" s="98">
        <v>51484225</v>
      </c>
      <c r="E19" s="99" t="s">
        <v>199</v>
      </c>
    </row>
    <row r="20" spans="1:5" s="45" customFormat="1" ht="15" customHeight="1" x14ac:dyDescent="0.2">
      <c r="A20" s="42" t="s">
        <v>28</v>
      </c>
      <c r="B20" s="42" t="s">
        <v>29</v>
      </c>
      <c r="C20" s="97">
        <v>10086477.625329545</v>
      </c>
      <c r="D20" s="98">
        <v>10086477.625329545</v>
      </c>
      <c r="E20" s="99" t="s">
        <v>199</v>
      </c>
    </row>
    <row r="21" spans="1:5" s="45" customFormat="1" ht="15" customHeight="1" x14ac:dyDescent="0.2">
      <c r="A21" s="42" t="s">
        <v>30</v>
      </c>
      <c r="B21" s="42" t="s">
        <v>31</v>
      </c>
      <c r="C21" s="97">
        <v>56009451</v>
      </c>
      <c r="D21" s="98">
        <v>56009451</v>
      </c>
      <c r="E21" s="99" t="s">
        <v>199</v>
      </c>
    </row>
    <row r="22" spans="1:5" s="45" customFormat="1" ht="15" customHeight="1" x14ac:dyDescent="0.2">
      <c r="A22" s="42" t="s">
        <v>32</v>
      </c>
      <c r="B22" s="42" t="s">
        <v>33</v>
      </c>
      <c r="C22" s="97">
        <v>20380647</v>
      </c>
      <c r="D22" s="98">
        <v>20380647</v>
      </c>
      <c r="E22" s="99" t="s">
        <v>199</v>
      </c>
    </row>
    <row r="23" spans="1:5" s="45" customFormat="1" ht="15" customHeight="1" x14ac:dyDescent="0.2">
      <c r="A23" s="42" t="s">
        <v>34</v>
      </c>
      <c r="B23" s="42" t="s">
        <v>35</v>
      </c>
      <c r="C23" s="97">
        <v>12769544</v>
      </c>
      <c r="D23" s="98">
        <v>12769544</v>
      </c>
      <c r="E23" s="99" t="s">
        <v>199</v>
      </c>
    </row>
    <row r="24" spans="1:5" s="45" customFormat="1" ht="15" customHeight="1" x14ac:dyDescent="0.2">
      <c r="A24" s="42" t="s">
        <v>36</v>
      </c>
      <c r="B24" s="42" t="s">
        <v>37</v>
      </c>
      <c r="C24" s="97">
        <v>9109667.8642268311</v>
      </c>
      <c r="D24" s="98">
        <v>9109667.8642268311</v>
      </c>
      <c r="E24" s="99" t="s">
        <v>199</v>
      </c>
    </row>
    <row r="25" spans="1:5" s="29" customFormat="1" ht="15" customHeight="1" x14ac:dyDescent="0.2">
      <c r="A25" s="42" t="s">
        <v>38</v>
      </c>
      <c r="B25" s="42" t="s">
        <v>39</v>
      </c>
      <c r="C25" s="97">
        <v>26759863</v>
      </c>
      <c r="D25" s="98">
        <v>26759863</v>
      </c>
      <c r="E25" s="99" t="s">
        <v>199</v>
      </c>
    </row>
    <row r="26" spans="1:5" s="29" customFormat="1" ht="15" customHeight="1" x14ac:dyDescent="0.2">
      <c r="A26" s="42" t="s">
        <v>40</v>
      </c>
      <c r="B26" s="42" t="s">
        <v>41</v>
      </c>
      <c r="C26" s="97">
        <v>32942750</v>
      </c>
      <c r="D26" s="98">
        <v>32942750</v>
      </c>
      <c r="E26" s="99" t="s">
        <v>199</v>
      </c>
    </row>
    <row r="27" spans="1:5" s="29" customFormat="1" ht="15" customHeight="1" x14ac:dyDescent="0.2">
      <c r="A27" s="42" t="s">
        <v>42</v>
      </c>
      <c r="B27" s="42" t="s">
        <v>43</v>
      </c>
      <c r="C27" s="97">
        <v>105300858</v>
      </c>
      <c r="D27" s="98">
        <v>105300858</v>
      </c>
      <c r="E27" s="99" t="s">
        <v>199</v>
      </c>
    </row>
    <row r="28" spans="1:5" s="29" customFormat="1" ht="15" customHeight="1" x14ac:dyDescent="0.2">
      <c r="A28" s="42" t="s">
        <v>44</v>
      </c>
      <c r="B28" s="42" t="s">
        <v>45</v>
      </c>
      <c r="C28" s="97">
        <v>4411073</v>
      </c>
      <c r="D28" s="98">
        <v>4411073</v>
      </c>
      <c r="E28" s="99" t="s">
        <v>199</v>
      </c>
    </row>
    <row r="29" spans="1:5" s="29" customFormat="1" ht="15" customHeight="1" x14ac:dyDescent="0.2">
      <c r="A29" s="42" t="s">
        <v>46</v>
      </c>
      <c r="B29" s="42" t="s">
        <v>47</v>
      </c>
      <c r="C29" s="97">
        <v>28745328.019240338</v>
      </c>
      <c r="D29" s="98">
        <v>28745328.019240338</v>
      </c>
      <c r="E29" s="99" t="s">
        <v>199</v>
      </c>
    </row>
    <row r="30" spans="1:5" s="29" customFormat="1" ht="15" customHeight="1" x14ac:dyDescent="0.2">
      <c r="A30" s="42" t="s">
        <v>48</v>
      </c>
      <c r="B30" s="42" t="s">
        <v>49</v>
      </c>
      <c r="C30" s="97">
        <v>15452977.5</v>
      </c>
      <c r="D30" s="98">
        <v>14767542</v>
      </c>
      <c r="E30" s="99">
        <v>685435.5</v>
      </c>
    </row>
    <row r="31" spans="1:5" s="29" customFormat="1" ht="15" customHeight="1" x14ac:dyDescent="0.2">
      <c r="A31" s="42" t="s">
        <v>50</v>
      </c>
      <c r="B31" s="42" t="s">
        <v>51</v>
      </c>
      <c r="C31" s="97">
        <v>4988622.25</v>
      </c>
      <c r="D31" s="98">
        <v>4859587</v>
      </c>
      <c r="E31" s="99">
        <v>129035.25</v>
      </c>
    </row>
    <row r="32" spans="1:5" s="29" customFormat="1" ht="15" customHeight="1" x14ac:dyDescent="0.2">
      <c r="A32" s="42" t="s">
        <v>52</v>
      </c>
      <c r="B32" s="42" t="s">
        <v>53</v>
      </c>
      <c r="C32" s="97">
        <v>107301583.38649409</v>
      </c>
      <c r="D32" s="98">
        <v>107030796.63649409</v>
      </c>
      <c r="E32" s="99">
        <v>270786.75</v>
      </c>
    </row>
    <row r="33" spans="1:5" s="29" customFormat="1" ht="15" customHeight="1" x14ac:dyDescent="0.2">
      <c r="A33" s="42" t="s">
        <v>54</v>
      </c>
      <c r="B33" s="42" t="s">
        <v>55</v>
      </c>
      <c r="C33" s="97">
        <v>21492981</v>
      </c>
      <c r="D33" s="98">
        <v>21492981</v>
      </c>
      <c r="E33" s="99" t="s">
        <v>199</v>
      </c>
    </row>
    <row r="34" spans="1:5" s="29" customFormat="1" ht="15" customHeight="1" x14ac:dyDescent="0.2">
      <c r="A34" s="42" t="s">
        <v>56</v>
      </c>
      <c r="B34" s="42" t="s">
        <v>57</v>
      </c>
      <c r="C34" s="97">
        <v>19381970</v>
      </c>
      <c r="D34" s="98">
        <v>19381970</v>
      </c>
      <c r="E34" s="99" t="s">
        <v>199</v>
      </c>
    </row>
    <row r="35" spans="1:5" s="29" customFormat="1" ht="15" customHeight="1" x14ac:dyDescent="0.2">
      <c r="A35" s="42" t="s">
        <v>58</v>
      </c>
      <c r="B35" s="42" t="s">
        <v>59</v>
      </c>
      <c r="C35" s="97">
        <v>46699162.341049619</v>
      </c>
      <c r="D35" s="98">
        <v>46699162.341049619</v>
      </c>
      <c r="E35" s="99" t="s">
        <v>199</v>
      </c>
    </row>
    <row r="36" spans="1:5" s="29" customFormat="1" ht="15" customHeight="1" x14ac:dyDescent="0.2">
      <c r="A36" s="42" t="s">
        <v>60</v>
      </c>
      <c r="B36" s="42" t="s">
        <v>61</v>
      </c>
      <c r="C36" s="97">
        <v>48244360</v>
      </c>
      <c r="D36" s="98">
        <v>48244360</v>
      </c>
      <c r="E36" s="99" t="s">
        <v>199</v>
      </c>
    </row>
    <row r="37" spans="1:5" s="29" customFormat="1" ht="15" customHeight="1" x14ac:dyDescent="0.2">
      <c r="A37" s="42" t="s">
        <v>62</v>
      </c>
      <c r="B37" s="42" t="s">
        <v>63</v>
      </c>
      <c r="C37" s="97">
        <v>14496849.75</v>
      </c>
      <c r="D37" s="98">
        <v>14487582</v>
      </c>
      <c r="E37" s="99">
        <v>9267.75</v>
      </c>
    </row>
    <row r="38" spans="1:5" s="29" customFormat="1" ht="15" customHeight="1" x14ac:dyDescent="0.2">
      <c r="A38" s="42" t="s">
        <v>64</v>
      </c>
      <c r="B38" s="46" t="s">
        <v>65</v>
      </c>
      <c r="C38" s="97">
        <v>23355120</v>
      </c>
      <c r="D38" s="98">
        <v>23355120</v>
      </c>
      <c r="E38" s="99" t="s">
        <v>199</v>
      </c>
    </row>
    <row r="39" spans="1:5" s="29" customFormat="1" ht="15" customHeight="1" x14ac:dyDescent="0.2">
      <c r="A39" s="42" t="s">
        <v>66</v>
      </c>
      <c r="B39" s="42" t="s">
        <v>67</v>
      </c>
      <c r="C39" s="97">
        <v>10256687.25</v>
      </c>
      <c r="D39" s="98">
        <v>9892911</v>
      </c>
      <c r="E39" s="99">
        <v>363776.25</v>
      </c>
    </row>
    <row r="40" spans="1:5" s="29" customFormat="1" ht="15" customHeight="1" x14ac:dyDescent="0.2">
      <c r="A40" s="42" t="s">
        <v>68</v>
      </c>
      <c r="B40" s="42" t="s">
        <v>69</v>
      </c>
      <c r="C40" s="97">
        <v>303244</v>
      </c>
      <c r="D40" s="98">
        <v>303244</v>
      </c>
      <c r="E40" s="99" t="s">
        <v>199</v>
      </c>
    </row>
    <row r="41" spans="1:5" s="29" customFormat="1" ht="15" customHeight="1" x14ac:dyDescent="0.2">
      <c r="A41" s="42" t="s">
        <v>70</v>
      </c>
      <c r="B41" s="42" t="s">
        <v>71</v>
      </c>
      <c r="C41" s="97">
        <v>58730</v>
      </c>
      <c r="D41" s="98">
        <v>58730</v>
      </c>
      <c r="E41" s="99" t="s">
        <v>199</v>
      </c>
    </row>
    <row r="42" spans="1:5" s="29" customFormat="1" ht="15" customHeight="1" x14ac:dyDescent="0.2">
      <c r="A42" s="42" t="s">
        <v>72</v>
      </c>
      <c r="B42" s="42" t="s">
        <v>73</v>
      </c>
      <c r="C42" s="97">
        <v>1044707</v>
      </c>
      <c r="D42" s="98">
        <v>1044707</v>
      </c>
      <c r="E42" s="99" t="s">
        <v>199</v>
      </c>
    </row>
    <row r="43" spans="1:5" s="29" customFormat="1" ht="15" customHeight="1" x14ac:dyDescent="0.2">
      <c r="A43" s="42" t="s">
        <v>74</v>
      </c>
      <c r="B43" s="42" t="s">
        <v>75</v>
      </c>
      <c r="C43" s="97">
        <v>60736</v>
      </c>
      <c r="D43" s="98">
        <v>60736</v>
      </c>
      <c r="E43" s="99" t="s">
        <v>199</v>
      </c>
    </row>
    <row r="44" spans="1:5" s="29" customFormat="1" ht="15" customHeight="1" x14ac:dyDescent="0.2">
      <c r="A44" s="42" t="s">
        <v>76</v>
      </c>
      <c r="B44" s="42" t="s">
        <v>77</v>
      </c>
      <c r="C44" s="97">
        <v>244930.6178123084</v>
      </c>
      <c r="D44" s="98">
        <v>244930.6178123084</v>
      </c>
      <c r="E44" s="99" t="s">
        <v>199</v>
      </c>
    </row>
    <row r="45" spans="1:5" s="29" customFormat="1" ht="15" customHeight="1" x14ac:dyDescent="0.2">
      <c r="A45" s="42" t="s">
        <v>78</v>
      </c>
      <c r="B45" s="42" t="s">
        <v>79</v>
      </c>
      <c r="C45" s="97">
        <v>3919638</v>
      </c>
      <c r="D45" s="98">
        <v>3919638</v>
      </c>
      <c r="E45" s="99" t="s">
        <v>199</v>
      </c>
    </row>
    <row r="46" spans="1:5" s="29" customFormat="1" ht="15" customHeight="1" x14ac:dyDescent="0.2">
      <c r="A46" s="42" t="s">
        <v>80</v>
      </c>
      <c r="B46" s="42" t="s">
        <v>81</v>
      </c>
      <c r="C46" s="97">
        <v>15825173.053796634</v>
      </c>
      <c r="D46" s="98">
        <v>15825173.053796634</v>
      </c>
      <c r="E46" s="99" t="s">
        <v>199</v>
      </c>
    </row>
    <row r="47" spans="1:5" s="29" customFormat="1" ht="15" customHeight="1" x14ac:dyDescent="0.2">
      <c r="A47" s="42" t="s">
        <v>82</v>
      </c>
      <c r="B47" s="42" t="s">
        <v>83</v>
      </c>
      <c r="C47" s="97">
        <v>10824204.62448713</v>
      </c>
      <c r="D47" s="98">
        <v>10525334.87448713</v>
      </c>
      <c r="E47" s="99">
        <v>298869.75</v>
      </c>
    </row>
    <row r="48" spans="1:5" s="29" customFormat="1" ht="15" customHeight="1" x14ac:dyDescent="0.2">
      <c r="A48" s="42" t="s">
        <v>84</v>
      </c>
      <c r="B48" s="42" t="s">
        <v>85</v>
      </c>
      <c r="C48" s="97">
        <v>44699839.983027875</v>
      </c>
      <c r="D48" s="98">
        <v>44699839.983027875</v>
      </c>
      <c r="E48" s="99" t="s">
        <v>199</v>
      </c>
    </row>
    <row r="49" spans="1:5" s="29" customFormat="1" ht="15" customHeight="1" x14ac:dyDescent="0.2">
      <c r="A49" s="42" t="s">
        <v>86</v>
      </c>
      <c r="B49" s="42" t="s">
        <v>87</v>
      </c>
      <c r="C49" s="97">
        <v>55337918</v>
      </c>
      <c r="D49" s="98">
        <v>55337918</v>
      </c>
      <c r="E49" s="99" t="s">
        <v>199</v>
      </c>
    </row>
    <row r="50" spans="1:5" s="29" customFormat="1" ht="15" customHeight="1" x14ac:dyDescent="0.2">
      <c r="A50" s="42" t="s">
        <v>88</v>
      </c>
      <c r="B50" s="42" t="s">
        <v>89</v>
      </c>
      <c r="C50" s="97">
        <v>23160371</v>
      </c>
      <c r="D50" s="98">
        <v>23160371</v>
      </c>
      <c r="E50" s="99" t="s">
        <v>199</v>
      </c>
    </row>
    <row r="51" spans="1:5" s="29" customFormat="1" ht="15" customHeight="1" x14ac:dyDescent="0.2">
      <c r="A51" s="42" t="s">
        <v>90</v>
      </c>
      <c r="B51" s="42" t="s">
        <v>91</v>
      </c>
      <c r="C51" s="97">
        <v>146539989.00470486</v>
      </c>
      <c r="D51" s="98">
        <v>146539989.00470486</v>
      </c>
      <c r="E51" s="99" t="s">
        <v>199</v>
      </c>
    </row>
    <row r="52" spans="1:5" s="29" customFormat="1" ht="15" customHeight="1" x14ac:dyDescent="0.2">
      <c r="A52" s="42" t="s">
        <v>92</v>
      </c>
      <c r="B52" s="42" t="s">
        <v>93</v>
      </c>
      <c r="C52" s="97">
        <v>18261687</v>
      </c>
      <c r="D52" s="98">
        <v>18261687</v>
      </c>
      <c r="E52" s="99" t="s">
        <v>199</v>
      </c>
    </row>
    <row r="53" spans="1:5" s="29" customFormat="1" ht="15" customHeight="1" x14ac:dyDescent="0.2">
      <c r="A53" s="42" t="s">
        <v>94</v>
      </c>
      <c r="B53" s="42" t="s">
        <v>95</v>
      </c>
      <c r="C53" s="97">
        <v>52804383</v>
      </c>
      <c r="D53" s="98">
        <v>52804383</v>
      </c>
      <c r="E53" s="99" t="s">
        <v>199</v>
      </c>
    </row>
    <row r="54" spans="1:5" s="29" customFormat="1" ht="15" customHeight="1" x14ac:dyDescent="0.2">
      <c r="A54" s="42" t="s">
        <v>96</v>
      </c>
      <c r="B54" s="42" t="s">
        <v>97</v>
      </c>
      <c r="C54" s="97">
        <v>42257897</v>
      </c>
      <c r="D54" s="98">
        <v>42257897</v>
      </c>
      <c r="E54" s="99" t="s">
        <v>199</v>
      </c>
    </row>
    <row r="55" spans="1:5" s="29" customFormat="1" ht="15" customHeight="1" x14ac:dyDescent="0.2">
      <c r="A55" s="42" t="s">
        <v>98</v>
      </c>
      <c r="B55" s="42" t="s">
        <v>99</v>
      </c>
      <c r="C55" s="97">
        <v>25126024.127091289</v>
      </c>
      <c r="D55" s="98">
        <v>25126024.127091289</v>
      </c>
      <c r="E55" s="99" t="s">
        <v>199</v>
      </c>
    </row>
    <row r="56" spans="1:5" s="29" customFormat="1" ht="15" customHeight="1" x14ac:dyDescent="0.2">
      <c r="A56" s="42" t="s">
        <v>100</v>
      </c>
      <c r="B56" s="42" t="s">
        <v>101</v>
      </c>
      <c r="C56" s="97">
        <v>25016264</v>
      </c>
      <c r="D56" s="98">
        <v>25016264</v>
      </c>
      <c r="E56" s="99" t="s">
        <v>199</v>
      </c>
    </row>
    <row r="57" spans="1:5" s="29" customFormat="1" ht="15" customHeight="1" x14ac:dyDescent="0.2">
      <c r="A57" s="42" t="s">
        <v>102</v>
      </c>
      <c r="B57" s="42" t="s">
        <v>103</v>
      </c>
      <c r="C57" s="97">
        <v>11092654.010508921</v>
      </c>
      <c r="D57" s="98">
        <v>11092654.010508921</v>
      </c>
      <c r="E57" s="99" t="s">
        <v>199</v>
      </c>
    </row>
    <row r="58" spans="1:5" s="29" customFormat="1" ht="15" customHeight="1" x14ac:dyDescent="0.2">
      <c r="A58" s="42" t="s">
        <v>104</v>
      </c>
      <c r="B58" s="42" t="s">
        <v>105</v>
      </c>
      <c r="C58" s="97">
        <v>34138327</v>
      </c>
      <c r="D58" s="98">
        <v>34138327</v>
      </c>
      <c r="E58" s="99" t="s">
        <v>199</v>
      </c>
    </row>
    <row r="59" spans="1:5" s="29" customFormat="1" ht="15" customHeight="1" x14ac:dyDescent="0.2">
      <c r="A59" s="42" t="s">
        <v>106</v>
      </c>
      <c r="B59" s="42" t="s">
        <v>107</v>
      </c>
      <c r="C59" s="97">
        <v>30010126</v>
      </c>
      <c r="D59" s="98">
        <v>30010126</v>
      </c>
      <c r="E59" s="99" t="s">
        <v>199</v>
      </c>
    </row>
    <row r="60" spans="1:5" s="29" customFormat="1" ht="15" customHeight="1" x14ac:dyDescent="0.2">
      <c r="A60" s="42" t="s">
        <v>108</v>
      </c>
      <c r="B60" s="42" t="s">
        <v>109</v>
      </c>
      <c r="C60" s="97">
        <v>39699520.201774783</v>
      </c>
      <c r="D60" s="98">
        <v>39699520.201774783</v>
      </c>
      <c r="E60" s="99" t="s">
        <v>199</v>
      </c>
    </row>
    <row r="61" spans="1:5" s="29" customFormat="1" ht="15" customHeight="1" x14ac:dyDescent="0.2">
      <c r="A61" s="42" t="s">
        <v>110</v>
      </c>
      <c r="B61" s="42" t="s">
        <v>111</v>
      </c>
      <c r="C61" s="97">
        <v>21959091</v>
      </c>
      <c r="D61" s="98">
        <v>21959091</v>
      </c>
      <c r="E61" s="99" t="s">
        <v>199</v>
      </c>
    </row>
    <row r="62" spans="1:5" s="29" customFormat="1" ht="15" customHeight="1" x14ac:dyDescent="0.2">
      <c r="A62" s="42" t="s">
        <v>112</v>
      </c>
      <c r="B62" s="42" t="s">
        <v>113</v>
      </c>
      <c r="C62" s="97">
        <v>64386766</v>
      </c>
      <c r="D62" s="98">
        <v>64386766</v>
      </c>
      <c r="E62" s="99" t="s">
        <v>199</v>
      </c>
    </row>
    <row r="63" spans="1:5" s="29" customFormat="1" ht="15" customHeight="1" x14ac:dyDescent="0.2">
      <c r="A63" s="42" t="s">
        <v>114</v>
      </c>
      <c r="B63" s="42" t="s">
        <v>115</v>
      </c>
      <c r="C63" s="97">
        <v>21608412</v>
      </c>
      <c r="D63" s="98">
        <v>21608412</v>
      </c>
      <c r="E63" s="99" t="s">
        <v>199</v>
      </c>
    </row>
    <row r="64" spans="1:5" s="29" customFormat="1" ht="15" customHeight="1" x14ac:dyDescent="0.2">
      <c r="A64" s="42" t="s">
        <v>116</v>
      </c>
      <c r="B64" s="42" t="s">
        <v>117</v>
      </c>
      <c r="C64" s="97">
        <v>18911732</v>
      </c>
      <c r="D64" s="98">
        <v>18911732</v>
      </c>
      <c r="E64" s="99" t="s">
        <v>199</v>
      </c>
    </row>
    <row r="65" spans="1:5" s="29" customFormat="1" ht="15" customHeight="1" x14ac:dyDescent="0.2">
      <c r="A65" s="42" t="s">
        <v>118</v>
      </c>
      <c r="B65" s="42" t="s">
        <v>119</v>
      </c>
      <c r="C65" s="97">
        <v>6389058</v>
      </c>
      <c r="D65" s="98">
        <v>6389058</v>
      </c>
      <c r="E65" s="99" t="s">
        <v>199</v>
      </c>
    </row>
    <row r="66" spans="1:5" s="29" customFormat="1" ht="15" customHeight="1" x14ac:dyDescent="0.2">
      <c r="A66" s="42" t="s">
        <v>120</v>
      </c>
      <c r="B66" s="42" t="s">
        <v>121</v>
      </c>
      <c r="C66" s="97">
        <v>365602</v>
      </c>
      <c r="D66" s="98">
        <v>365602</v>
      </c>
      <c r="E66" s="99" t="s">
        <v>199</v>
      </c>
    </row>
    <row r="67" spans="1:5" s="29" customFormat="1" ht="15" customHeight="1" x14ac:dyDescent="0.2">
      <c r="A67" s="42" t="s">
        <v>122</v>
      </c>
      <c r="B67" s="42" t="s">
        <v>123</v>
      </c>
      <c r="C67" s="97">
        <v>43194</v>
      </c>
      <c r="D67" s="98">
        <v>43194</v>
      </c>
      <c r="E67" s="99" t="s">
        <v>199</v>
      </c>
    </row>
    <row r="68" spans="1:5" s="29" customFormat="1" ht="15" customHeight="1" x14ac:dyDescent="0.2">
      <c r="A68" s="42" t="s">
        <v>124</v>
      </c>
      <c r="B68" s="42" t="s">
        <v>125</v>
      </c>
      <c r="C68" s="97">
        <v>6456491</v>
      </c>
      <c r="D68" s="98">
        <v>6456491</v>
      </c>
      <c r="E68" s="99" t="s">
        <v>199</v>
      </c>
    </row>
    <row r="69" spans="1:5" s="29" customFormat="1" ht="15" customHeight="1" x14ac:dyDescent="0.2">
      <c r="A69" s="42" t="s">
        <v>126</v>
      </c>
      <c r="B69" s="42" t="s">
        <v>127</v>
      </c>
      <c r="C69" s="97">
        <v>1631</v>
      </c>
      <c r="D69" s="98">
        <v>1631</v>
      </c>
      <c r="E69" s="99" t="s">
        <v>199</v>
      </c>
    </row>
    <row r="70" spans="1:5" ht="15" customHeight="1" x14ac:dyDescent="0.2">
      <c r="A70" s="42" t="s">
        <v>128</v>
      </c>
      <c r="B70" s="42" t="s">
        <v>129</v>
      </c>
      <c r="C70" s="97">
        <v>6211828</v>
      </c>
      <c r="D70" s="98">
        <v>6211828</v>
      </c>
      <c r="E70" s="99" t="s">
        <v>199</v>
      </c>
    </row>
    <row r="71" spans="1:5" ht="15" customHeight="1" x14ac:dyDescent="0.2">
      <c r="A71" s="42" t="s">
        <v>130</v>
      </c>
      <c r="B71" s="42" t="s">
        <v>131</v>
      </c>
      <c r="C71" s="97">
        <v>2415889.25</v>
      </c>
      <c r="D71" s="98">
        <v>1390919</v>
      </c>
      <c r="E71" s="99">
        <v>1024970.25</v>
      </c>
    </row>
    <row r="72" spans="1:5" ht="15" customHeight="1" x14ac:dyDescent="0.2">
      <c r="A72" s="42" t="s">
        <v>132</v>
      </c>
      <c r="B72" s="42" t="s">
        <v>133</v>
      </c>
      <c r="C72" s="97">
        <v>1299442.5</v>
      </c>
      <c r="D72" s="98">
        <v>713754</v>
      </c>
      <c r="E72" s="101">
        <v>585688.5</v>
      </c>
    </row>
    <row r="73" spans="1:5" ht="15" customHeight="1" x14ac:dyDescent="0.2">
      <c r="A73" s="42" t="s">
        <v>134</v>
      </c>
      <c r="B73" s="42" t="s">
        <v>135</v>
      </c>
      <c r="C73" s="97">
        <v>2400795.25</v>
      </c>
      <c r="D73" s="98">
        <v>598588</v>
      </c>
      <c r="E73" s="99">
        <v>1802207.25</v>
      </c>
    </row>
    <row r="74" spans="1:5" ht="15" customHeight="1" x14ac:dyDescent="0.2">
      <c r="A74" s="42" t="s">
        <v>136</v>
      </c>
      <c r="B74" s="42" t="s">
        <v>137</v>
      </c>
      <c r="C74" s="97">
        <v>5113585.5</v>
      </c>
      <c r="D74" s="98">
        <v>4105641</v>
      </c>
      <c r="E74" s="99">
        <v>1007944.5</v>
      </c>
    </row>
    <row r="75" spans="1:5" ht="15" customHeight="1" x14ac:dyDescent="0.2">
      <c r="A75" s="42" t="s">
        <v>138</v>
      </c>
      <c r="B75" s="42" t="s">
        <v>139</v>
      </c>
      <c r="C75" s="97">
        <v>474405</v>
      </c>
      <c r="D75" s="98">
        <v>474405</v>
      </c>
      <c r="E75" s="99" t="s">
        <v>199</v>
      </c>
    </row>
    <row r="76" spans="1:5" ht="15" customHeight="1" x14ac:dyDescent="0.2">
      <c r="A76" s="42" t="s">
        <v>140</v>
      </c>
      <c r="B76" s="42" t="s">
        <v>141</v>
      </c>
      <c r="C76" s="97">
        <v>1616450.25</v>
      </c>
      <c r="D76" s="98">
        <v>980613</v>
      </c>
      <c r="E76" s="99">
        <v>635837.25</v>
      </c>
    </row>
    <row r="77" spans="1:5" ht="15" customHeight="1" x14ac:dyDescent="0.2">
      <c r="A77" s="42" t="s">
        <v>142</v>
      </c>
      <c r="B77" s="42" t="s">
        <v>143</v>
      </c>
      <c r="C77" s="97">
        <v>3426082.75</v>
      </c>
      <c r="D77" s="98">
        <v>2535232</v>
      </c>
      <c r="E77" s="99">
        <v>890850.75</v>
      </c>
    </row>
    <row r="78" spans="1:5" ht="15" customHeight="1" x14ac:dyDescent="0.2">
      <c r="A78" s="42" t="s">
        <v>144</v>
      </c>
      <c r="B78" s="42" t="s">
        <v>145</v>
      </c>
      <c r="C78" s="97">
        <v>1274984</v>
      </c>
      <c r="D78" s="98">
        <v>662585</v>
      </c>
      <c r="E78" s="99">
        <v>612399</v>
      </c>
    </row>
    <row r="79" spans="1:5" ht="15" customHeight="1" x14ac:dyDescent="0.2">
      <c r="A79" s="42" t="s">
        <v>146</v>
      </c>
      <c r="B79" s="42" t="s">
        <v>147</v>
      </c>
      <c r="C79" s="97">
        <v>1802673</v>
      </c>
      <c r="D79" s="98">
        <v>1802673</v>
      </c>
      <c r="E79" s="99" t="s">
        <v>199</v>
      </c>
    </row>
    <row r="80" spans="1:5" ht="15" customHeight="1" x14ac:dyDescent="0.2">
      <c r="A80" s="42" t="s">
        <v>148</v>
      </c>
      <c r="B80" s="42" t="s">
        <v>149</v>
      </c>
      <c r="C80" s="97">
        <v>2058726.75</v>
      </c>
      <c r="D80" s="98">
        <v>1582353</v>
      </c>
      <c r="E80" s="99">
        <v>476373.75</v>
      </c>
    </row>
    <row r="81" spans="1:5" ht="15" customHeight="1" x14ac:dyDescent="0.2">
      <c r="A81" s="42" t="s">
        <v>150</v>
      </c>
      <c r="B81" s="42" t="s">
        <v>151</v>
      </c>
      <c r="C81" s="97">
        <v>389024</v>
      </c>
      <c r="D81" s="98">
        <v>389024</v>
      </c>
      <c r="E81" s="99" t="s">
        <v>199</v>
      </c>
    </row>
    <row r="82" spans="1:5" ht="15" customHeight="1" x14ac:dyDescent="0.2">
      <c r="A82" s="42" t="s">
        <v>152</v>
      </c>
      <c r="B82" s="42" t="s">
        <v>153</v>
      </c>
      <c r="C82" s="97">
        <v>193755</v>
      </c>
      <c r="D82" s="98">
        <v>193755</v>
      </c>
      <c r="E82" s="99" t="s">
        <v>199</v>
      </c>
    </row>
    <row r="83" spans="1:5" ht="15" customHeight="1" x14ac:dyDescent="0.2">
      <c r="A83" s="42" t="s">
        <v>154</v>
      </c>
      <c r="B83" s="42" t="s">
        <v>155</v>
      </c>
      <c r="C83" s="97">
        <v>2084683.75</v>
      </c>
      <c r="D83" s="98">
        <v>1436827</v>
      </c>
      <c r="E83" s="99">
        <v>647856.75</v>
      </c>
    </row>
    <row r="84" spans="1:5" ht="15" customHeight="1" x14ac:dyDescent="0.2">
      <c r="A84" s="42" t="s">
        <v>156</v>
      </c>
      <c r="B84" s="42" t="s">
        <v>157</v>
      </c>
      <c r="C84" s="97">
        <v>1240216</v>
      </c>
      <c r="D84" s="98">
        <v>532063</v>
      </c>
      <c r="E84" s="99">
        <v>708153</v>
      </c>
    </row>
    <row r="85" spans="1:5" ht="15" customHeight="1" x14ac:dyDescent="0.2">
      <c r="A85" s="42" t="s">
        <v>158</v>
      </c>
      <c r="B85" s="42" t="s">
        <v>159</v>
      </c>
      <c r="C85" s="97">
        <v>1355557.75</v>
      </c>
      <c r="D85" s="98">
        <v>664171</v>
      </c>
      <c r="E85" s="99">
        <v>691386.75</v>
      </c>
    </row>
    <row r="86" spans="1:5" ht="15" customHeight="1" x14ac:dyDescent="0.2">
      <c r="A86" s="42" t="s">
        <v>160</v>
      </c>
      <c r="B86" s="42" t="s">
        <v>161</v>
      </c>
      <c r="C86" s="97">
        <v>4446414.25</v>
      </c>
      <c r="D86" s="98">
        <v>1222917</v>
      </c>
      <c r="E86" s="99">
        <v>3223497.25</v>
      </c>
    </row>
    <row r="87" spans="1:5" ht="15" customHeight="1" thickBot="1" x14ac:dyDescent="0.25">
      <c r="A87" s="48" t="s">
        <v>162</v>
      </c>
      <c r="B87" s="48" t="s">
        <v>163</v>
      </c>
      <c r="C87" s="49">
        <v>2419222.75</v>
      </c>
      <c r="D87" s="50">
        <v>827638</v>
      </c>
      <c r="E87" s="51">
        <v>1591584.75</v>
      </c>
    </row>
    <row r="88" spans="1:5" s="29" customFormat="1" ht="10.5" customHeight="1" x14ac:dyDescent="0.2">
      <c r="A88" s="52" t="s">
        <v>182</v>
      </c>
      <c r="B88" s="53"/>
      <c r="C88" s="54"/>
      <c r="D88" s="55" t="s">
        <v>183</v>
      </c>
      <c r="E88" s="55"/>
    </row>
    <row r="89" spans="1:5" s="61" customFormat="1" ht="9.75" customHeight="1" x14ac:dyDescent="0.25">
      <c r="A89" s="56" t="s">
        <v>184</v>
      </c>
      <c r="B89" s="57"/>
      <c r="C89" s="58"/>
      <c r="D89" s="59" t="s">
        <v>185</v>
      </c>
      <c r="E89" s="60"/>
    </row>
    <row r="90" spans="1:5" ht="11.25" customHeight="1" x14ac:dyDescent="0.2">
      <c r="A90" s="56"/>
      <c r="B90" s="57"/>
      <c r="C90" s="57"/>
      <c r="D90" s="62"/>
      <c r="E90" s="62"/>
    </row>
  </sheetData>
  <mergeCells count="2">
    <mergeCell ref="D3:E3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0"/>
  <sheetViews>
    <sheetView workbookViewId="0">
      <selection activeCell="U15" sqref="U15"/>
    </sheetView>
  </sheetViews>
  <sheetFormatPr defaultRowHeight="12.75" x14ac:dyDescent="0.2"/>
  <cols>
    <col min="1" max="1" width="11.28515625" style="47" customWidth="1"/>
    <col min="2" max="2" width="14.85546875" style="47" customWidth="1"/>
    <col min="3" max="3" width="26.28515625" style="63" customWidth="1"/>
    <col min="4" max="4" width="18.85546875" style="64" customWidth="1"/>
    <col min="5" max="5" width="12.5703125" style="47" customWidth="1"/>
    <col min="6" max="6" width="24.140625" style="47" customWidth="1"/>
    <col min="7" max="205" width="9.140625" style="47"/>
    <col min="206" max="206" width="5.140625" style="47" customWidth="1"/>
    <col min="207" max="207" width="1.85546875" style="47" customWidth="1"/>
    <col min="208" max="219" width="8.28515625" style="47" customWidth="1"/>
    <col min="220" max="220" width="6.28515625" style="47" bestFit="1" customWidth="1"/>
    <col min="221" max="221" width="8" style="47" customWidth="1"/>
    <col min="222" max="222" width="8.28515625" style="47" customWidth="1"/>
    <col min="223" max="461" width="9.140625" style="47"/>
    <col min="462" max="462" width="5.140625" style="47" customWidth="1"/>
    <col min="463" max="463" width="1.85546875" style="47" customWidth="1"/>
    <col min="464" max="475" width="8.28515625" style="47" customWidth="1"/>
    <col min="476" max="476" width="6.28515625" style="47" bestFit="1" customWidth="1"/>
    <col min="477" max="477" width="8" style="47" customWidth="1"/>
    <col min="478" max="478" width="8.28515625" style="47" customWidth="1"/>
    <col min="479" max="717" width="9.140625" style="47"/>
    <col min="718" max="718" width="5.140625" style="47" customWidth="1"/>
    <col min="719" max="719" width="1.85546875" style="47" customWidth="1"/>
    <col min="720" max="731" width="8.28515625" style="47" customWidth="1"/>
    <col min="732" max="732" width="6.28515625" style="47" bestFit="1" customWidth="1"/>
    <col min="733" max="733" width="8" style="47" customWidth="1"/>
    <col min="734" max="734" width="8.28515625" style="47" customWidth="1"/>
    <col min="735" max="973" width="9.140625" style="47"/>
    <col min="974" max="974" width="5.140625" style="47" customWidth="1"/>
    <col min="975" max="975" width="1.85546875" style="47" customWidth="1"/>
    <col min="976" max="987" width="8.28515625" style="47" customWidth="1"/>
    <col min="988" max="988" width="6.28515625" style="47" bestFit="1" customWidth="1"/>
    <col min="989" max="989" width="8" style="47" customWidth="1"/>
    <col min="990" max="990" width="8.28515625" style="47" customWidth="1"/>
    <col min="991" max="1229" width="9.140625" style="47"/>
    <col min="1230" max="1230" width="5.140625" style="47" customWidth="1"/>
    <col min="1231" max="1231" width="1.85546875" style="47" customWidth="1"/>
    <col min="1232" max="1243" width="8.28515625" style="47" customWidth="1"/>
    <col min="1244" max="1244" width="6.28515625" style="47" bestFit="1" customWidth="1"/>
    <col min="1245" max="1245" width="8" style="47" customWidth="1"/>
    <col min="1246" max="1246" width="8.28515625" style="47" customWidth="1"/>
    <col min="1247" max="1485" width="9.140625" style="47"/>
    <col min="1486" max="1486" width="5.140625" style="47" customWidth="1"/>
    <col min="1487" max="1487" width="1.85546875" style="47" customWidth="1"/>
    <col min="1488" max="1499" width="8.28515625" style="47" customWidth="1"/>
    <col min="1500" max="1500" width="6.28515625" style="47" bestFit="1" customWidth="1"/>
    <col min="1501" max="1501" width="8" style="47" customWidth="1"/>
    <col min="1502" max="1502" width="8.28515625" style="47" customWidth="1"/>
    <col min="1503" max="1741" width="9.140625" style="47"/>
    <col min="1742" max="1742" width="5.140625" style="47" customWidth="1"/>
    <col min="1743" max="1743" width="1.85546875" style="47" customWidth="1"/>
    <col min="1744" max="1755" width="8.28515625" style="47" customWidth="1"/>
    <col min="1756" max="1756" width="6.28515625" style="47" bestFit="1" customWidth="1"/>
    <col min="1757" max="1757" width="8" style="47" customWidth="1"/>
    <col min="1758" max="1758" width="8.28515625" style="47" customWidth="1"/>
    <col min="1759" max="1997" width="9.140625" style="47"/>
    <col min="1998" max="1998" width="5.140625" style="47" customWidth="1"/>
    <col min="1999" max="1999" width="1.85546875" style="47" customWidth="1"/>
    <col min="2000" max="2011" width="8.28515625" style="47" customWidth="1"/>
    <col min="2012" max="2012" width="6.28515625" style="47" bestFit="1" customWidth="1"/>
    <col min="2013" max="2013" width="8" style="47" customWidth="1"/>
    <col min="2014" max="2014" width="8.28515625" style="47" customWidth="1"/>
    <col min="2015" max="2253" width="9.140625" style="47"/>
    <col min="2254" max="2254" width="5.140625" style="47" customWidth="1"/>
    <col min="2255" max="2255" width="1.85546875" style="47" customWidth="1"/>
    <col min="2256" max="2267" width="8.28515625" style="47" customWidth="1"/>
    <col min="2268" max="2268" width="6.28515625" style="47" bestFit="1" customWidth="1"/>
    <col min="2269" max="2269" width="8" style="47" customWidth="1"/>
    <col min="2270" max="2270" width="8.28515625" style="47" customWidth="1"/>
    <col min="2271" max="2509" width="9.140625" style="47"/>
    <col min="2510" max="2510" width="5.140625" style="47" customWidth="1"/>
    <col min="2511" max="2511" width="1.85546875" style="47" customWidth="1"/>
    <col min="2512" max="2523" width="8.28515625" style="47" customWidth="1"/>
    <col min="2524" max="2524" width="6.28515625" style="47" bestFit="1" customWidth="1"/>
    <col min="2525" max="2525" width="8" style="47" customWidth="1"/>
    <col min="2526" max="2526" width="8.28515625" style="47" customWidth="1"/>
    <col min="2527" max="2765" width="9.140625" style="47"/>
    <col min="2766" max="2766" width="5.140625" style="47" customWidth="1"/>
    <col min="2767" max="2767" width="1.85546875" style="47" customWidth="1"/>
    <col min="2768" max="2779" width="8.28515625" style="47" customWidth="1"/>
    <col min="2780" max="2780" width="6.28515625" style="47" bestFit="1" customWidth="1"/>
    <col min="2781" max="2781" width="8" style="47" customWidth="1"/>
    <col min="2782" max="2782" width="8.28515625" style="47" customWidth="1"/>
    <col min="2783" max="3021" width="9.140625" style="47"/>
    <col min="3022" max="3022" width="5.140625" style="47" customWidth="1"/>
    <col min="3023" max="3023" width="1.85546875" style="47" customWidth="1"/>
    <col min="3024" max="3035" width="8.28515625" style="47" customWidth="1"/>
    <col min="3036" max="3036" width="6.28515625" style="47" bestFit="1" customWidth="1"/>
    <col min="3037" max="3037" width="8" style="47" customWidth="1"/>
    <col min="3038" max="3038" width="8.28515625" style="47" customWidth="1"/>
    <col min="3039" max="3277" width="9.140625" style="47"/>
    <col min="3278" max="3278" width="5.140625" style="47" customWidth="1"/>
    <col min="3279" max="3279" width="1.85546875" style="47" customWidth="1"/>
    <col min="3280" max="3291" width="8.28515625" style="47" customWidth="1"/>
    <col min="3292" max="3292" width="6.28515625" style="47" bestFit="1" customWidth="1"/>
    <col min="3293" max="3293" width="8" style="47" customWidth="1"/>
    <col min="3294" max="3294" width="8.28515625" style="47" customWidth="1"/>
    <col min="3295" max="3533" width="9.140625" style="47"/>
    <col min="3534" max="3534" width="5.140625" style="47" customWidth="1"/>
    <col min="3535" max="3535" width="1.85546875" style="47" customWidth="1"/>
    <col min="3536" max="3547" width="8.28515625" style="47" customWidth="1"/>
    <col min="3548" max="3548" width="6.28515625" style="47" bestFit="1" customWidth="1"/>
    <col min="3549" max="3549" width="8" style="47" customWidth="1"/>
    <col min="3550" max="3550" width="8.28515625" style="47" customWidth="1"/>
    <col min="3551" max="3789" width="9.140625" style="47"/>
    <col min="3790" max="3790" width="5.140625" style="47" customWidth="1"/>
    <col min="3791" max="3791" width="1.85546875" style="47" customWidth="1"/>
    <col min="3792" max="3803" width="8.28515625" style="47" customWidth="1"/>
    <col min="3804" max="3804" width="6.28515625" style="47" bestFit="1" customWidth="1"/>
    <col min="3805" max="3805" width="8" style="47" customWidth="1"/>
    <col min="3806" max="3806" width="8.28515625" style="47" customWidth="1"/>
    <col min="3807" max="4045" width="9.140625" style="47"/>
    <col min="4046" max="4046" width="5.140625" style="47" customWidth="1"/>
    <col min="4047" max="4047" width="1.85546875" style="47" customWidth="1"/>
    <col min="4048" max="4059" width="8.28515625" style="47" customWidth="1"/>
    <col min="4060" max="4060" width="6.28515625" style="47" bestFit="1" customWidth="1"/>
    <col min="4061" max="4061" width="8" style="47" customWidth="1"/>
    <col min="4062" max="4062" width="8.28515625" style="47" customWidth="1"/>
    <col min="4063" max="4301" width="9.140625" style="47"/>
    <col min="4302" max="4302" width="5.140625" style="47" customWidth="1"/>
    <col min="4303" max="4303" width="1.85546875" style="47" customWidth="1"/>
    <col min="4304" max="4315" width="8.28515625" style="47" customWidth="1"/>
    <col min="4316" max="4316" width="6.28515625" style="47" bestFit="1" customWidth="1"/>
    <col min="4317" max="4317" width="8" style="47" customWidth="1"/>
    <col min="4318" max="4318" width="8.28515625" style="47" customWidth="1"/>
    <col min="4319" max="4557" width="9.140625" style="47"/>
    <col min="4558" max="4558" width="5.140625" style="47" customWidth="1"/>
    <col min="4559" max="4559" width="1.85546875" style="47" customWidth="1"/>
    <col min="4560" max="4571" width="8.28515625" style="47" customWidth="1"/>
    <col min="4572" max="4572" width="6.28515625" style="47" bestFit="1" customWidth="1"/>
    <col min="4573" max="4573" width="8" style="47" customWidth="1"/>
    <col min="4574" max="4574" width="8.28515625" style="47" customWidth="1"/>
    <col min="4575" max="4813" width="9.140625" style="47"/>
    <col min="4814" max="4814" width="5.140625" style="47" customWidth="1"/>
    <col min="4815" max="4815" width="1.85546875" style="47" customWidth="1"/>
    <col min="4816" max="4827" width="8.28515625" style="47" customWidth="1"/>
    <col min="4828" max="4828" width="6.28515625" style="47" bestFit="1" customWidth="1"/>
    <col min="4829" max="4829" width="8" style="47" customWidth="1"/>
    <col min="4830" max="4830" width="8.28515625" style="47" customWidth="1"/>
    <col min="4831" max="5069" width="9.140625" style="47"/>
    <col min="5070" max="5070" width="5.140625" style="47" customWidth="1"/>
    <col min="5071" max="5071" width="1.85546875" style="47" customWidth="1"/>
    <col min="5072" max="5083" width="8.28515625" style="47" customWidth="1"/>
    <col min="5084" max="5084" width="6.28515625" style="47" bestFit="1" customWidth="1"/>
    <col min="5085" max="5085" width="8" style="47" customWidth="1"/>
    <col min="5086" max="5086" width="8.28515625" style="47" customWidth="1"/>
    <col min="5087" max="5325" width="9.140625" style="47"/>
    <col min="5326" max="5326" width="5.140625" style="47" customWidth="1"/>
    <col min="5327" max="5327" width="1.85546875" style="47" customWidth="1"/>
    <col min="5328" max="5339" width="8.28515625" style="47" customWidth="1"/>
    <col min="5340" max="5340" width="6.28515625" style="47" bestFit="1" customWidth="1"/>
    <col min="5341" max="5341" width="8" style="47" customWidth="1"/>
    <col min="5342" max="5342" width="8.28515625" style="47" customWidth="1"/>
    <col min="5343" max="5581" width="9.140625" style="47"/>
    <col min="5582" max="5582" width="5.140625" style="47" customWidth="1"/>
    <col min="5583" max="5583" width="1.85546875" style="47" customWidth="1"/>
    <col min="5584" max="5595" width="8.28515625" style="47" customWidth="1"/>
    <col min="5596" max="5596" width="6.28515625" style="47" bestFit="1" customWidth="1"/>
    <col min="5597" max="5597" width="8" style="47" customWidth="1"/>
    <col min="5598" max="5598" width="8.28515625" style="47" customWidth="1"/>
    <col min="5599" max="5837" width="9.140625" style="47"/>
    <col min="5838" max="5838" width="5.140625" style="47" customWidth="1"/>
    <col min="5839" max="5839" width="1.85546875" style="47" customWidth="1"/>
    <col min="5840" max="5851" width="8.28515625" style="47" customWidth="1"/>
    <col min="5852" max="5852" width="6.28515625" style="47" bestFit="1" customWidth="1"/>
    <col min="5853" max="5853" width="8" style="47" customWidth="1"/>
    <col min="5854" max="5854" width="8.28515625" style="47" customWidth="1"/>
    <col min="5855" max="6093" width="9.140625" style="47"/>
    <col min="6094" max="6094" width="5.140625" style="47" customWidth="1"/>
    <col min="6095" max="6095" width="1.85546875" style="47" customWidth="1"/>
    <col min="6096" max="6107" width="8.28515625" style="47" customWidth="1"/>
    <col min="6108" max="6108" width="6.28515625" style="47" bestFit="1" customWidth="1"/>
    <col min="6109" max="6109" width="8" style="47" customWidth="1"/>
    <col min="6110" max="6110" width="8.28515625" style="47" customWidth="1"/>
    <col min="6111" max="6349" width="9.140625" style="47"/>
    <col min="6350" max="6350" width="5.140625" style="47" customWidth="1"/>
    <col min="6351" max="6351" width="1.85546875" style="47" customWidth="1"/>
    <col min="6352" max="6363" width="8.28515625" style="47" customWidth="1"/>
    <col min="6364" max="6364" width="6.28515625" style="47" bestFit="1" customWidth="1"/>
    <col min="6365" max="6365" width="8" style="47" customWidth="1"/>
    <col min="6366" max="6366" width="8.28515625" style="47" customWidth="1"/>
    <col min="6367" max="6605" width="9.140625" style="47"/>
    <col min="6606" max="6606" width="5.140625" style="47" customWidth="1"/>
    <col min="6607" max="6607" width="1.85546875" style="47" customWidth="1"/>
    <col min="6608" max="6619" width="8.28515625" style="47" customWidth="1"/>
    <col min="6620" max="6620" width="6.28515625" style="47" bestFit="1" customWidth="1"/>
    <col min="6621" max="6621" width="8" style="47" customWidth="1"/>
    <col min="6622" max="6622" width="8.28515625" style="47" customWidth="1"/>
    <col min="6623" max="6861" width="9.140625" style="47"/>
    <col min="6862" max="6862" width="5.140625" style="47" customWidth="1"/>
    <col min="6863" max="6863" width="1.85546875" style="47" customWidth="1"/>
    <col min="6864" max="6875" width="8.28515625" style="47" customWidth="1"/>
    <col min="6876" max="6876" width="6.28515625" style="47" bestFit="1" customWidth="1"/>
    <col min="6877" max="6877" width="8" style="47" customWidth="1"/>
    <col min="6878" max="6878" width="8.28515625" style="47" customWidth="1"/>
    <col min="6879" max="7117" width="9.140625" style="47"/>
    <col min="7118" max="7118" width="5.140625" style="47" customWidth="1"/>
    <col min="7119" max="7119" width="1.85546875" style="47" customWidth="1"/>
    <col min="7120" max="7131" width="8.28515625" style="47" customWidth="1"/>
    <col min="7132" max="7132" width="6.28515625" style="47" bestFit="1" customWidth="1"/>
    <col min="7133" max="7133" width="8" style="47" customWidth="1"/>
    <col min="7134" max="7134" width="8.28515625" style="47" customWidth="1"/>
    <col min="7135" max="7373" width="9.140625" style="47"/>
    <col min="7374" max="7374" width="5.140625" style="47" customWidth="1"/>
    <col min="7375" max="7375" width="1.85546875" style="47" customWidth="1"/>
    <col min="7376" max="7387" width="8.28515625" style="47" customWidth="1"/>
    <col min="7388" max="7388" width="6.28515625" style="47" bestFit="1" customWidth="1"/>
    <col min="7389" max="7389" width="8" style="47" customWidth="1"/>
    <col min="7390" max="7390" width="8.28515625" style="47" customWidth="1"/>
    <col min="7391" max="7629" width="9.140625" style="47"/>
    <col min="7630" max="7630" width="5.140625" style="47" customWidth="1"/>
    <col min="7631" max="7631" width="1.85546875" style="47" customWidth="1"/>
    <col min="7632" max="7643" width="8.28515625" style="47" customWidth="1"/>
    <col min="7644" max="7644" width="6.28515625" style="47" bestFit="1" customWidth="1"/>
    <col min="7645" max="7645" width="8" style="47" customWidth="1"/>
    <col min="7646" max="7646" width="8.28515625" style="47" customWidth="1"/>
    <col min="7647" max="7885" width="9.140625" style="47"/>
    <col min="7886" max="7886" width="5.140625" style="47" customWidth="1"/>
    <col min="7887" max="7887" width="1.85546875" style="47" customWidth="1"/>
    <col min="7888" max="7899" width="8.28515625" style="47" customWidth="1"/>
    <col min="7900" max="7900" width="6.28515625" style="47" bestFit="1" customWidth="1"/>
    <col min="7901" max="7901" width="8" style="47" customWidth="1"/>
    <col min="7902" max="7902" width="8.28515625" style="47" customWidth="1"/>
    <col min="7903" max="8141" width="9.140625" style="47"/>
    <col min="8142" max="8142" width="5.140625" style="47" customWidth="1"/>
    <col min="8143" max="8143" width="1.85546875" style="47" customWidth="1"/>
    <col min="8144" max="8155" width="8.28515625" style="47" customWidth="1"/>
    <col min="8156" max="8156" width="6.28515625" style="47" bestFit="1" customWidth="1"/>
    <col min="8157" max="8157" width="8" style="47" customWidth="1"/>
    <col min="8158" max="8158" width="8.28515625" style="47" customWidth="1"/>
    <col min="8159" max="8397" width="9.140625" style="47"/>
    <col min="8398" max="8398" width="5.140625" style="47" customWidth="1"/>
    <col min="8399" max="8399" width="1.85546875" style="47" customWidth="1"/>
    <col min="8400" max="8411" width="8.28515625" style="47" customWidth="1"/>
    <col min="8412" max="8412" width="6.28515625" style="47" bestFit="1" customWidth="1"/>
    <col min="8413" max="8413" width="8" style="47" customWidth="1"/>
    <col min="8414" max="8414" width="8.28515625" style="47" customWidth="1"/>
    <col min="8415" max="8653" width="9.140625" style="47"/>
    <col min="8654" max="8654" width="5.140625" style="47" customWidth="1"/>
    <col min="8655" max="8655" width="1.85546875" style="47" customWidth="1"/>
    <col min="8656" max="8667" width="8.28515625" style="47" customWidth="1"/>
    <col min="8668" max="8668" width="6.28515625" style="47" bestFit="1" customWidth="1"/>
    <col min="8669" max="8669" width="8" style="47" customWidth="1"/>
    <col min="8670" max="8670" width="8.28515625" style="47" customWidth="1"/>
    <col min="8671" max="8909" width="9.140625" style="47"/>
    <col min="8910" max="8910" width="5.140625" style="47" customWidth="1"/>
    <col min="8911" max="8911" width="1.85546875" style="47" customWidth="1"/>
    <col min="8912" max="8923" width="8.28515625" style="47" customWidth="1"/>
    <col min="8924" max="8924" width="6.28515625" style="47" bestFit="1" customWidth="1"/>
    <col min="8925" max="8925" width="8" style="47" customWidth="1"/>
    <col min="8926" max="8926" width="8.28515625" style="47" customWidth="1"/>
    <col min="8927" max="9165" width="9.140625" style="47"/>
    <col min="9166" max="9166" width="5.140625" style="47" customWidth="1"/>
    <col min="9167" max="9167" width="1.85546875" style="47" customWidth="1"/>
    <col min="9168" max="9179" width="8.28515625" style="47" customWidth="1"/>
    <col min="9180" max="9180" width="6.28515625" style="47" bestFit="1" customWidth="1"/>
    <col min="9181" max="9181" width="8" style="47" customWidth="1"/>
    <col min="9182" max="9182" width="8.28515625" style="47" customWidth="1"/>
    <col min="9183" max="9421" width="9.140625" style="47"/>
    <col min="9422" max="9422" width="5.140625" style="47" customWidth="1"/>
    <col min="9423" max="9423" width="1.85546875" style="47" customWidth="1"/>
    <col min="9424" max="9435" width="8.28515625" style="47" customWidth="1"/>
    <col min="9436" max="9436" width="6.28515625" style="47" bestFit="1" customWidth="1"/>
    <col min="9437" max="9437" width="8" style="47" customWidth="1"/>
    <col min="9438" max="9438" width="8.28515625" style="47" customWidth="1"/>
    <col min="9439" max="9677" width="9.140625" style="47"/>
    <col min="9678" max="9678" width="5.140625" style="47" customWidth="1"/>
    <col min="9679" max="9679" width="1.85546875" style="47" customWidth="1"/>
    <col min="9680" max="9691" width="8.28515625" style="47" customWidth="1"/>
    <col min="9692" max="9692" width="6.28515625" style="47" bestFit="1" customWidth="1"/>
    <col min="9693" max="9693" width="8" style="47" customWidth="1"/>
    <col min="9694" max="9694" width="8.28515625" style="47" customWidth="1"/>
    <col min="9695" max="9933" width="9.140625" style="47"/>
    <col min="9934" max="9934" width="5.140625" style="47" customWidth="1"/>
    <col min="9935" max="9935" width="1.85546875" style="47" customWidth="1"/>
    <col min="9936" max="9947" width="8.28515625" style="47" customWidth="1"/>
    <col min="9948" max="9948" width="6.28515625" style="47" bestFit="1" customWidth="1"/>
    <col min="9949" max="9949" width="8" style="47" customWidth="1"/>
    <col min="9950" max="9950" width="8.28515625" style="47" customWidth="1"/>
    <col min="9951" max="10189" width="9.140625" style="47"/>
    <col min="10190" max="10190" width="5.140625" style="47" customWidth="1"/>
    <col min="10191" max="10191" width="1.85546875" style="47" customWidth="1"/>
    <col min="10192" max="10203" width="8.28515625" style="47" customWidth="1"/>
    <col min="10204" max="10204" width="6.28515625" style="47" bestFit="1" customWidth="1"/>
    <col min="10205" max="10205" width="8" style="47" customWidth="1"/>
    <col min="10206" max="10206" width="8.28515625" style="47" customWidth="1"/>
    <col min="10207" max="10445" width="9.140625" style="47"/>
    <col min="10446" max="10446" width="5.140625" style="47" customWidth="1"/>
    <col min="10447" max="10447" width="1.85546875" style="47" customWidth="1"/>
    <col min="10448" max="10459" width="8.28515625" style="47" customWidth="1"/>
    <col min="10460" max="10460" width="6.28515625" style="47" bestFit="1" customWidth="1"/>
    <col min="10461" max="10461" width="8" style="47" customWidth="1"/>
    <col min="10462" max="10462" width="8.28515625" style="47" customWidth="1"/>
    <col min="10463" max="10701" width="9.140625" style="47"/>
    <col min="10702" max="10702" width="5.140625" style="47" customWidth="1"/>
    <col min="10703" max="10703" width="1.85546875" style="47" customWidth="1"/>
    <col min="10704" max="10715" width="8.28515625" style="47" customWidth="1"/>
    <col min="10716" max="10716" width="6.28515625" style="47" bestFit="1" customWidth="1"/>
    <col min="10717" max="10717" width="8" style="47" customWidth="1"/>
    <col min="10718" max="10718" width="8.28515625" style="47" customWidth="1"/>
    <col min="10719" max="10957" width="9.140625" style="47"/>
    <col min="10958" max="10958" width="5.140625" style="47" customWidth="1"/>
    <col min="10959" max="10959" width="1.85546875" style="47" customWidth="1"/>
    <col min="10960" max="10971" width="8.28515625" style="47" customWidth="1"/>
    <col min="10972" max="10972" width="6.28515625" style="47" bestFit="1" customWidth="1"/>
    <col min="10973" max="10973" width="8" style="47" customWidth="1"/>
    <col min="10974" max="10974" width="8.28515625" style="47" customWidth="1"/>
    <col min="10975" max="11213" width="9.140625" style="47"/>
    <col min="11214" max="11214" width="5.140625" style="47" customWidth="1"/>
    <col min="11215" max="11215" width="1.85546875" style="47" customWidth="1"/>
    <col min="11216" max="11227" width="8.28515625" style="47" customWidth="1"/>
    <col min="11228" max="11228" width="6.28515625" style="47" bestFit="1" customWidth="1"/>
    <col min="11229" max="11229" width="8" style="47" customWidth="1"/>
    <col min="11230" max="11230" width="8.28515625" style="47" customWidth="1"/>
    <col min="11231" max="11469" width="9.140625" style="47"/>
    <col min="11470" max="11470" width="5.140625" style="47" customWidth="1"/>
    <col min="11471" max="11471" width="1.85546875" style="47" customWidth="1"/>
    <col min="11472" max="11483" width="8.28515625" style="47" customWidth="1"/>
    <col min="11484" max="11484" width="6.28515625" style="47" bestFit="1" customWidth="1"/>
    <col min="11485" max="11485" width="8" style="47" customWidth="1"/>
    <col min="11486" max="11486" width="8.28515625" style="47" customWidth="1"/>
    <col min="11487" max="11725" width="9.140625" style="47"/>
    <col min="11726" max="11726" width="5.140625" style="47" customWidth="1"/>
    <col min="11727" max="11727" width="1.85546875" style="47" customWidth="1"/>
    <col min="11728" max="11739" width="8.28515625" style="47" customWidth="1"/>
    <col min="11740" max="11740" width="6.28515625" style="47" bestFit="1" customWidth="1"/>
    <col min="11741" max="11741" width="8" style="47" customWidth="1"/>
    <col min="11742" max="11742" width="8.28515625" style="47" customWidth="1"/>
    <col min="11743" max="11981" width="9.140625" style="47"/>
    <col min="11982" max="11982" width="5.140625" style="47" customWidth="1"/>
    <col min="11983" max="11983" width="1.85546875" style="47" customWidth="1"/>
    <col min="11984" max="11995" width="8.28515625" style="47" customWidth="1"/>
    <col min="11996" max="11996" width="6.28515625" style="47" bestFit="1" customWidth="1"/>
    <col min="11997" max="11997" width="8" style="47" customWidth="1"/>
    <col min="11998" max="11998" width="8.28515625" style="47" customWidth="1"/>
    <col min="11999" max="12237" width="9.140625" style="47"/>
    <col min="12238" max="12238" width="5.140625" style="47" customWidth="1"/>
    <col min="12239" max="12239" width="1.85546875" style="47" customWidth="1"/>
    <col min="12240" max="12251" width="8.28515625" style="47" customWidth="1"/>
    <col min="12252" max="12252" width="6.28515625" style="47" bestFit="1" customWidth="1"/>
    <col min="12253" max="12253" width="8" style="47" customWidth="1"/>
    <col min="12254" max="12254" width="8.28515625" style="47" customWidth="1"/>
    <col min="12255" max="12493" width="9.140625" style="47"/>
    <col min="12494" max="12494" width="5.140625" style="47" customWidth="1"/>
    <col min="12495" max="12495" width="1.85546875" style="47" customWidth="1"/>
    <col min="12496" max="12507" width="8.28515625" style="47" customWidth="1"/>
    <col min="12508" max="12508" width="6.28515625" style="47" bestFit="1" customWidth="1"/>
    <col min="12509" max="12509" width="8" style="47" customWidth="1"/>
    <col min="12510" max="12510" width="8.28515625" style="47" customWidth="1"/>
    <col min="12511" max="12749" width="9.140625" style="47"/>
    <col min="12750" max="12750" width="5.140625" style="47" customWidth="1"/>
    <col min="12751" max="12751" width="1.85546875" style="47" customWidth="1"/>
    <col min="12752" max="12763" width="8.28515625" style="47" customWidth="1"/>
    <col min="12764" max="12764" width="6.28515625" style="47" bestFit="1" customWidth="1"/>
    <col min="12765" max="12765" width="8" style="47" customWidth="1"/>
    <col min="12766" max="12766" width="8.28515625" style="47" customWidth="1"/>
    <col min="12767" max="13005" width="9.140625" style="47"/>
    <col min="13006" max="13006" width="5.140625" style="47" customWidth="1"/>
    <col min="13007" max="13007" width="1.85546875" style="47" customWidth="1"/>
    <col min="13008" max="13019" width="8.28515625" style="47" customWidth="1"/>
    <col min="13020" max="13020" width="6.28515625" style="47" bestFit="1" customWidth="1"/>
    <col min="13021" max="13021" width="8" style="47" customWidth="1"/>
    <col min="13022" max="13022" width="8.28515625" style="47" customWidth="1"/>
    <col min="13023" max="13261" width="9.140625" style="47"/>
    <col min="13262" max="13262" width="5.140625" style="47" customWidth="1"/>
    <col min="13263" max="13263" width="1.85546875" style="47" customWidth="1"/>
    <col min="13264" max="13275" width="8.28515625" style="47" customWidth="1"/>
    <col min="13276" max="13276" width="6.28515625" style="47" bestFit="1" customWidth="1"/>
    <col min="13277" max="13277" width="8" style="47" customWidth="1"/>
    <col min="13278" max="13278" width="8.28515625" style="47" customWidth="1"/>
    <col min="13279" max="13517" width="9.140625" style="47"/>
    <col min="13518" max="13518" width="5.140625" style="47" customWidth="1"/>
    <col min="13519" max="13519" width="1.85546875" style="47" customWidth="1"/>
    <col min="13520" max="13531" width="8.28515625" style="47" customWidth="1"/>
    <col min="13532" max="13532" width="6.28515625" style="47" bestFit="1" customWidth="1"/>
    <col min="13533" max="13533" width="8" style="47" customWidth="1"/>
    <col min="13534" max="13534" width="8.28515625" style="47" customWidth="1"/>
    <col min="13535" max="13773" width="9.140625" style="47"/>
    <col min="13774" max="13774" width="5.140625" style="47" customWidth="1"/>
    <col min="13775" max="13775" width="1.85546875" style="47" customWidth="1"/>
    <col min="13776" max="13787" width="8.28515625" style="47" customWidth="1"/>
    <col min="13788" max="13788" width="6.28515625" style="47" bestFit="1" customWidth="1"/>
    <col min="13789" max="13789" width="8" style="47" customWidth="1"/>
    <col min="13790" max="13790" width="8.28515625" style="47" customWidth="1"/>
    <col min="13791" max="14029" width="9.140625" style="47"/>
    <col min="14030" max="14030" width="5.140625" style="47" customWidth="1"/>
    <col min="14031" max="14031" width="1.85546875" style="47" customWidth="1"/>
    <col min="14032" max="14043" width="8.28515625" style="47" customWidth="1"/>
    <col min="14044" max="14044" width="6.28515625" style="47" bestFit="1" customWidth="1"/>
    <col min="14045" max="14045" width="8" style="47" customWidth="1"/>
    <col min="14046" max="14046" width="8.28515625" style="47" customWidth="1"/>
    <col min="14047" max="14285" width="9.140625" style="47"/>
    <col min="14286" max="14286" width="5.140625" style="47" customWidth="1"/>
    <col min="14287" max="14287" width="1.85546875" style="47" customWidth="1"/>
    <col min="14288" max="14299" width="8.28515625" style="47" customWidth="1"/>
    <col min="14300" max="14300" width="6.28515625" style="47" bestFit="1" customWidth="1"/>
    <col min="14301" max="14301" width="8" style="47" customWidth="1"/>
    <col min="14302" max="14302" width="8.28515625" style="47" customWidth="1"/>
    <col min="14303" max="14541" width="9.140625" style="47"/>
    <col min="14542" max="14542" width="5.140625" style="47" customWidth="1"/>
    <col min="14543" max="14543" width="1.85546875" style="47" customWidth="1"/>
    <col min="14544" max="14555" width="8.28515625" style="47" customWidth="1"/>
    <col min="14556" max="14556" width="6.28515625" style="47" bestFit="1" customWidth="1"/>
    <col min="14557" max="14557" width="8" style="47" customWidth="1"/>
    <col min="14558" max="14558" width="8.28515625" style="47" customWidth="1"/>
    <col min="14559" max="14797" width="9.140625" style="47"/>
    <col min="14798" max="14798" width="5.140625" style="47" customWidth="1"/>
    <col min="14799" max="14799" width="1.85546875" style="47" customWidth="1"/>
    <col min="14800" max="14811" width="8.28515625" style="47" customWidth="1"/>
    <col min="14812" max="14812" width="6.28515625" style="47" bestFit="1" customWidth="1"/>
    <col min="14813" max="14813" width="8" style="47" customWidth="1"/>
    <col min="14814" max="14814" width="8.28515625" style="47" customWidth="1"/>
    <col min="14815" max="15053" width="9.140625" style="47"/>
    <col min="15054" max="15054" width="5.140625" style="47" customWidth="1"/>
    <col min="15055" max="15055" width="1.85546875" style="47" customWidth="1"/>
    <col min="15056" max="15067" width="8.28515625" style="47" customWidth="1"/>
    <col min="15068" max="15068" width="6.28515625" style="47" bestFit="1" customWidth="1"/>
    <col min="15069" max="15069" width="8" style="47" customWidth="1"/>
    <col min="15070" max="15070" width="8.28515625" style="47" customWidth="1"/>
    <col min="15071" max="15309" width="9.140625" style="47"/>
    <col min="15310" max="15310" width="5.140625" style="47" customWidth="1"/>
    <col min="15311" max="15311" width="1.85546875" style="47" customWidth="1"/>
    <col min="15312" max="15323" width="8.28515625" style="47" customWidth="1"/>
    <col min="15324" max="15324" width="6.28515625" style="47" bestFit="1" customWidth="1"/>
    <col min="15325" max="15325" width="8" style="47" customWidth="1"/>
    <col min="15326" max="15326" width="8.28515625" style="47" customWidth="1"/>
    <col min="15327" max="15565" width="9.140625" style="47"/>
    <col min="15566" max="15566" width="5.140625" style="47" customWidth="1"/>
    <col min="15567" max="15567" width="1.85546875" style="47" customWidth="1"/>
    <col min="15568" max="15579" width="8.28515625" style="47" customWidth="1"/>
    <col min="15580" max="15580" width="6.28515625" style="47" bestFit="1" customWidth="1"/>
    <col min="15581" max="15581" width="8" style="47" customWidth="1"/>
    <col min="15582" max="15582" width="8.28515625" style="47" customWidth="1"/>
    <col min="15583" max="15821" width="9.140625" style="47"/>
    <col min="15822" max="15822" width="5.140625" style="47" customWidth="1"/>
    <col min="15823" max="15823" width="1.85546875" style="47" customWidth="1"/>
    <col min="15824" max="15835" width="8.28515625" style="47" customWidth="1"/>
    <col min="15836" max="15836" width="6.28515625" style="47" bestFit="1" customWidth="1"/>
    <col min="15837" max="15837" width="8" style="47" customWidth="1"/>
    <col min="15838" max="15838" width="8.28515625" style="47" customWidth="1"/>
    <col min="15839" max="16077" width="9.140625" style="47"/>
    <col min="16078" max="16078" width="5.140625" style="47" customWidth="1"/>
    <col min="16079" max="16079" width="1.85546875" style="47" customWidth="1"/>
    <col min="16080" max="16091" width="8.28515625" style="47" customWidth="1"/>
    <col min="16092" max="16092" width="6.28515625" style="47" bestFit="1" customWidth="1"/>
    <col min="16093" max="16093" width="8" style="47" customWidth="1"/>
    <col min="16094" max="16094" width="8.28515625" style="47" customWidth="1"/>
    <col min="16095" max="16384" width="9.140625" style="47"/>
  </cols>
  <sheetData>
    <row r="1" spans="1:6" s="29" customFormat="1" ht="17.25" customHeight="1" x14ac:dyDescent="0.2">
      <c r="A1" s="27" t="s">
        <v>197</v>
      </c>
      <c r="B1" s="27"/>
      <c r="C1" s="28"/>
      <c r="D1" s="28"/>
    </row>
    <row r="2" spans="1:6" s="29" customFormat="1" ht="18" customHeight="1" thickBot="1" x14ac:dyDescent="0.25">
      <c r="A2" s="87" t="s">
        <v>198</v>
      </c>
      <c r="B2" s="87"/>
      <c r="C2" s="87"/>
      <c r="E2" s="31" t="s">
        <v>192</v>
      </c>
    </row>
    <row r="3" spans="1:6" s="29" customFormat="1" ht="13.5" customHeight="1" x14ac:dyDescent="0.2">
      <c r="A3" s="32"/>
      <c r="B3" s="33"/>
      <c r="C3" s="65"/>
      <c r="D3" s="108" t="s">
        <v>186</v>
      </c>
      <c r="E3" s="108"/>
      <c r="F3" s="66"/>
    </row>
    <row r="4" spans="1:6" s="34" customFormat="1" ht="20.25" customHeight="1" x14ac:dyDescent="0.15">
      <c r="A4" s="35"/>
      <c r="B4" s="67"/>
      <c r="C4" s="68" t="s">
        <v>187</v>
      </c>
      <c r="D4" s="69" t="s">
        <v>188</v>
      </c>
      <c r="E4" s="39" t="s">
        <v>178</v>
      </c>
      <c r="F4" s="70"/>
    </row>
    <row r="5" spans="1:6" s="34" customFormat="1" ht="23.25" customHeight="1" x14ac:dyDescent="0.15">
      <c r="A5" s="107" t="s">
        <v>201</v>
      </c>
      <c r="B5" s="107"/>
      <c r="C5" s="71" t="s">
        <v>189</v>
      </c>
      <c r="D5" s="72" t="s">
        <v>180</v>
      </c>
      <c r="E5" s="72" t="s">
        <v>181</v>
      </c>
      <c r="F5" s="73"/>
    </row>
    <row r="6" spans="1:6" s="34" customFormat="1" ht="15" customHeight="1" x14ac:dyDescent="0.15">
      <c r="A6" s="41" t="s">
        <v>0</v>
      </c>
      <c r="B6" s="41" t="s">
        <v>1</v>
      </c>
      <c r="C6" s="89">
        <v>50955500</v>
      </c>
      <c r="D6" s="89">
        <v>50050271</v>
      </c>
      <c r="E6" s="89">
        <v>905229</v>
      </c>
      <c r="F6" s="74"/>
    </row>
    <row r="7" spans="1:6" s="34" customFormat="1" ht="15" customHeight="1" x14ac:dyDescent="0.15">
      <c r="A7" s="42" t="s">
        <v>2</v>
      </c>
      <c r="B7" s="42" t="s">
        <v>3</v>
      </c>
      <c r="C7" s="90">
        <v>757024</v>
      </c>
      <c r="D7" s="90">
        <v>757024</v>
      </c>
      <c r="E7" s="43" t="s">
        <v>199</v>
      </c>
      <c r="F7" s="74"/>
    </row>
    <row r="8" spans="1:6" s="44" customFormat="1" ht="15" customHeight="1" x14ac:dyDescent="0.15">
      <c r="A8" s="42" t="s">
        <v>4</v>
      </c>
      <c r="B8" s="42" t="s">
        <v>5</v>
      </c>
      <c r="C8" s="90">
        <v>186600</v>
      </c>
      <c r="D8" s="90">
        <v>186600</v>
      </c>
      <c r="E8" s="43" t="s">
        <v>199</v>
      </c>
      <c r="F8" s="74"/>
    </row>
    <row r="9" spans="1:6" s="29" customFormat="1" ht="15" customHeight="1" x14ac:dyDescent="0.2">
      <c r="A9" s="42" t="s">
        <v>6</v>
      </c>
      <c r="B9" s="42" t="s">
        <v>7</v>
      </c>
      <c r="C9" s="90">
        <v>308560</v>
      </c>
      <c r="D9" s="90">
        <v>308560</v>
      </c>
      <c r="E9" s="43" t="s">
        <v>199</v>
      </c>
      <c r="F9" s="74"/>
    </row>
    <row r="10" spans="1:6" s="29" customFormat="1" ht="15" customHeight="1" x14ac:dyDescent="0.2">
      <c r="A10" s="42" t="s">
        <v>8</v>
      </c>
      <c r="B10" s="42" t="s">
        <v>9</v>
      </c>
      <c r="C10" s="90">
        <v>1127232</v>
      </c>
      <c r="D10" s="90">
        <v>1127232</v>
      </c>
      <c r="E10" s="43" t="s">
        <v>199</v>
      </c>
      <c r="F10" s="74"/>
    </row>
    <row r="11" spans="1:6" s="29" customFormat="1" ht="15" customHeight="1" x14ac:dyDescent="0.2">
      <c r="A11" s="42" t="s">
        <v>10</v>
      </c>
      <c r="B11" s="42" t="s">
        <v>11</v>
      </c>
      <c r="C11" s="90">
        <v>1931813</v>
      </c>
      <c r="D11" s="90">
        <v>1931813</v>
      </c>
      <c r="E11" s="43" t="s">
        <v>199</v>
      </c>
      <c r="F11" s="74"/>
    </row>
    <row r="12" spans="1:6" s="29" customFormat="1" ht="15" customHeight="1" x14ac:dyDescent="0.2">
      <c r="A12" s="42" t="s">
        <v>12</v>
      </c>
      <c r="B12" s="42" t="s">
        <v>13</v>
      </c>
      <c r="C12" s="90">
        <v>1811218</v>
      </c>
      <c r="D12" s="90">
        <v>1811218</v>
      </c>
      <c r="E12" s="43" t="s">
        <v>199</v>
      </c>
      <c r="F12" s="74"/>
    </row>
    <row r="13" spans="1:6" s="29" customFormat="1" ht="15" customHeight="1" x14ac:dyDescent="0.2">
      <c r="A13" s="42" t="s">
        <v>14</v>
      </c>
      <c r="B13" s="42" t="s">
        <v>15</v>
      </c>
      <c r="C13" s="90">
        <v>932256</v>
      </c>
      <c r="D13" s="90">
        <v>932256</v>
      </c>
      <c r="E13" s="43" t="s">
        <v>199</v>
      </c>
      <c r="F13" s="74"/>
    </row>
    <row r="14" spans="1:6" s="29" customFormat="1" ht="15" customHeight="1" x14ac:dyDescent="0.2">
      <c r="A14" s="42" t="s">
        <v>16</v>
      </c>
      <c r="B14" s="42" t="s">
        <v>17</v>
      </c>
      <c r="C14" s="90">
        <v>607900</v>
      </c>
      <c r="D14" s="90">
        <v>607900</v>
      </c>
      <c r="E14" s="43" t="s">
        <v>199</v>
      </c>
      <c r="F14" s="74"/>
    </row>
    <row r="15" spans="1:6" s="45" customFormat="1" ht="15" customHeight="1" x14ac:dyDescent="0.2">
      <c r="A15" s="42" t="s">
        <v>18</v>
      </c>
      <c r="B15" s="42" t="s">
        <v>19</v>
      </c>
      <c r="C15" s="90">
        <v>959450</v>
      </c>
      <c r="D15" s="90">
        <v>959450</v>
      </c>
      <c r="E15" s="43" t="s">
        <v>199</v>
      </c>
      <c r="F15" s="74"/>
    </row>
    <row r="16" spans="1:6" s="45" customFormat="1" ht="15" customHeight="1" x14ac:dyDescent="0.2">
      <c r="A16" s="42" t="s">
        <v>20</v>
      </c>
      <c r="B16" s="42" t="s">
        <v>21</v>
      </c>
      <c r="C16" s="90">
        <v>1902331</v>
      </c>
      <c r="D16" s="90">
        <v>1902331</v>
      </c>
      <c r="E16" s="43" t="s">
        <v>199</v>
      </c>
      <c r="F16" s="74"/>
    </row>
    <row r="17" spans="1:6" s="45" customFormat="1" ht="15" customHeight="1" x14ac:dyDescent="0.2">
      <c r="A17" s="42" t="s">
        <v>22</v>
      </c>
      <c r="B17" s="42" t="s">
        <v>23</v>
      </c>
      <c r="C17" s="90">
        <v>876312</v>
      </c>
      <c r="D17" s="90">
        <v>876312</v>
      </c>
      <c r="E17" s="43" t="s">
        <v>199</v>
      </c>
      <c r="F17" s="74"/>
    </row>
    <row r="18" spans="1:6" s="45" customFormat="1" ht="15" customHeight="1" x14ac:dyDescent="0.2">
      <c r="A18" s="42" t="s">
        <v>24</v>
      </c>
      <c r="B18" s="42" t="s">
        <v>25</v>
      </c>
      <c r="C18" s="90">
        <v>279889</v>
      </c>
      <c r="D18" s="90">
        <v>279889</v>
      </c>
      <c r="E18" s="43" t="s">
        <v>199</v>
      </c>
      <c r="F18" s="74"/>
    </row>
    <row r="19" spans="1:6" s="45" customFormat="1" ht="15" customHeight="1" x14ac:dyDescent="0.2">
      <c r="A19" s="42" t="s">
        <v>26</v>
      </c>
      <c r="B19" s="42" t="s">
        <v>27</v>
      </c>
      <c r="C19" s="90">
        <v>1443234</v>
      </c>
      <c r="D19" s="90">
        <v>1443234</v>
      </c>
      <c r="E19" s="43" t="s">
        <v>199</v>
      </c>
      <c r="F19" s="74"/>
    </row>
    <row r="20" spans="1:6" s="45" customFormat="1" ht="15" customHeight="1" x14ac:dyDescent="0.2">
      <c r="A20" s="42" t="s">
        <v>28</v>
      </c>
      <c r="B20" s="42" t="s">
        <v>29</v>
      </c>
      <c r="C20" s="90">
        <v>317140</v>
      </c>
      <c r="D20" s="90">
        <v>317140</v>
      </c>
      <c r="E20" s="43" t="s">
        <v>199</v>
      </c>
      <c r="F20" s="74"/>
    </row>
    <row r="21" spans="1:6" s="45" customFormat="1" ht="15" customHeight="1" x14ac:dyDescent="0.2">
      <c r="A21" s="42" t="s">
        <v>30</v>
      </c>
      <c r="B21" s="42" t="s">
        <v>31</v>
      </c>
      <c r="C21" s="90">
        <v>1541972</v>
      </c>
      <c r="D21" s="90">
        <v>1541972</v>
      </c>
      <c r="E21" s="43" t="s">
        <v>199</v>
      </c>
      <c r="F21" s="74"/>
    </row>
    <row r="22" spans="1:6" s="45" customFormat="1" ht="15" customHeight="1" x14ac:dyDescent="0.2">
      <c r="A22" s="42" t="s">
        <v>32</v>
      </c>
      <c r="B22" s="42" t="s">
        <v>33</v>
      </c>
      <c r="C22" s="90">
        <v>506807</v>
      </c>
      <c r="D22" s="90">
        <v>506807</v>
      </c>
      <c r="E22" s="43" t="s">
        <v>199</v>
      </c>
      <c r="F22" s="74"/>
    </row>
    <row r="23" spans="1:6" s="45" customFormat="1" ht="15" customHeight="1" x14ac:dyDescent="0.2">
      <c r="A23" s="42" t="s">
        <v>34</v>
      </c>
      <c r="B23" s="42" t="s">
        <v>35</v>
      </c>
      <c r="C23" s="90">
        <v>373972</v>
      </c>
      <c r="D23" s="90">
        <v>373972</v>
      </c>
      <c r="E23" s="43" t="s">
        <v>199</v>
      </c>
      <c r="F23" s="74"/>
    </row>
    <row r="24" spans="1:6" s="45" customFormat="1" ht="15" customHeight="1" x14ac:dyDescent="0.2">
      <c r="A24" s="42" t="s">
        <v>36</v>
      </c>
      <c r="B24" s="42" t="s">
        <v>37</v>
      </c>
      <c r="C24" s="90">
        <v>435490</v>
      </c>
      <c r="D24" s="90">
        <v>435490</v>
      </c>
      <c r="E24" s="43" t="s">
        <v>199</v>
      </c>
      <c r="F24" s="74"/>
    </row>
    <row r="25" spans="1:6" s="29" customFormat="1" ht="15" customHeight="1" x14ac:dyDescent="0.2">
      <c r="A25" s="42" t="s">
        <v>38</v>
      </c>
      <c r="B25" s="42" t="s">
        <v>39</v>
      </c>
      <c r="C25" s="90">
        <v>809241</v>
      </c>
      <c r="D25" s="90">
        <v>809241</v>
      </c>
      <c r="E25" s="43" t="s">
        <v>199</v>
      </c>
      <c r="F25" s="74"/>
    </row>
    <row r="26" spans="1:6" s="29" customFormat="1" ht="15" customHeight="1" x14ac:dyDescent="0.2">
      <c r="A26" s="42" t="s">
        <v>40</v>
      </c>
      <c r="B26" s="42" t="s">
        <v>41</v>
      </c>
      <c r="C26" s="90">
        <v>664909</v>
      </c>
      <c r="D26" s="90">
        <v>664909</v>
      </c>
      <c r="E26" s="43" t="s">
        <v>199</v>
      </c>
      <c r="F26" s="74"/>
    </row>
    <row r="27" spans="1:6" s="29" customFormat="1" ht="15" customHeight="1" x14ac:dyDescent="0.2">
      <c r="A27" s="42" t="s">
        <v>42</v>
      </c>
      <c r="B27" s="42" t="s">
        <v>43</v>
      </c>
      <c r="C27" s="90">
        <v>2635208</v>
      </c>
      <c r="D27" s="90">
        <v>2635208</v>
      </c>
      <c r="E27" s="43" t="s">
        <v>199</v>
      </c>
      <c r="F27" s="74"/>
    </row>
    <row r="28" spans="1:6" s="29" customFormat="1" ht="15" customHeight="1" x14ac:dyDescent="0.2">
      <c r="A28" s="42" t="s">
        <v>44</v>
      </c>
      <c r="B28" s="42" t="s">
        <v>45</v>
      </c>
      <c r="C28" s="90">
        <v>190047</v>
      </c>
      <c r="D28" s="90">
        <v>190047</v>
      </c>
      <c r="E28" s="43" t="s">
        <v>199</v>
      </c>
      <c r="F28" s="74"/>
    </row>
    <row r="29" spans="1:6" s="29" customFormat="1" ht="15" customHeight="1" x14ac:dyDescent="0.2">
      <c r="A29" s="42" t="s">
        <v>46</v>
      </c>
      <c r="B29" s="42" t="s">
        <v>47</v>
      </c>
      <c r="C29" s="90">
        <v>685325</v>
      </c>
      <c r="D29" s="90">
        <v>685325</v>
      </c>
      <c r="E29" s="43" t="s">
        <v>199</v>
      </c>
      <c r="F29" s="74"/>
    </row>
    <row r="30" spans="1:6" s="29" customFormat="1" ht="15" customHeight="1" x14ac:dyDescent="0.2">
      <c r="A30" s="42" t="s">
        <v>48</v>
      </c>
      <c r="B30" s="42" t="s">
        <v>49</v>
      </c>
      <c r="C30" s="90">
        <v>455501</v>
      </c>
      <c r="D30" s="90">
        <v>430157</v>
      </c>
      <c r="E30" s="43">
        <v>25344</v>
      </c>
      <c r="F30" s="74"/>
    </row>
    <row r="31" spans="1:6" s="29" customFormat="1" ht="15" customHeight="1" x14ac:dyDescent="0.2">
      <c r="A31" s="42" t="s">
        <v>50</v>
      </c>
      <c r="B31" s="42" t="s">
        <v>51</v>
      </c>
      <c r="C31" s="90">
        <v>147878.25</v>
      </c>
      <c r="D31" s="90">
        <v>138720</v>
      </c>
      <c r="E31" s="43">
        <v>9158.25</v>
      </c>
      <c r="F31" s="74"/>
    </row>
    <row r="32" spans="1:6" s="29" customFormat="1" ht="15" customHeight="1" x14ac:dyDescent="0.2">
      <c r="A32" s="42" t="s">
        <v>52</v>
      </c>
      <c r="B32" s="42" t="s">
        <v>53</v>
      </c>
      <c r="C32" s="90">
        <v>2664897</v>
      </c>
      <c r="D32" s="90">
        <v>2654226</v>
      </c>
      <c r="E32" s="43">
        <v>10671</v>
      </c>
      <c r="F32" s="74"/>
    </row>
    <row r="33" spans="1:6" s="29" customFormat="1" ht="15" customHeight="1" x14ac:dyDescent="0.2">
      <c r="A33" s="42" t="s">
        <v>54</v>
      </c>
      <c r="B33" s="42" t="s">
        <v>55</v>
      </c>
      <c r="C33" s="90">
        <v>535059</v>
      </c>
      <c r="D33" s="90">
        <v>535059</v>
      </c>
      <c r="E33" s="43" t="s">
        <v>199</v>
      </c>
      <c r="F33" s="74"/>
    </row>
    <row r="34" spans="1:6" s="29" customFormat="1" ht="15" customHeight="1" x14ac:dyDescent="0.2">
      <c r="A34" s="42" t="s">
        <v>56</v>
      </c>
      <c r="B34" s="42" t="s">
        <v>57</v>
      </c>
      <c r="C34" s="90">
        <v>483724</v>
      </c>
      <c r="D34" s="90">
        <v>483724</v>
      </c>
      <c r="E34" s="43" t="s">
        <v>199</v>
      </c>
      <c r="F34" s="74"/>
    </row>
    <row r="35" spans="1:6" s="29" customFormat="1" ht="15" customHeight="1" x14ac:dyDescent="0.2">
      <c r="A35" s="42" t="s">
        <v>58</v>
      </c>
      <c r="B35" s="42" t="s">
        <v>59</v>
      </c>
      <c r="C35" s="90">
        <v>1348833</v>
      </c>
      <c r="D35" s="90">
        <v>1348833</v>
      </c>
      <c r="E35" s="43" t="s">
        <v>199</v>
      </c>
      <c r="F35" s="74"/>
    </row>
    <row r="36" spans="1:6" s="29" customFormat="1" ht="15" customHeight="1" x14ac:dyDescent="0.2">
      <c r="A36" s="42" t="s">
        <v>60</v>
      </c>
      <c r="B36" s="42" t="s">
        <v>61</v>
      </c>
      <c r="C36" s="90">
        <v>1452474</v>
      </c>
      <c r="D36" s="90">
        <v>1452474</v>
      </c>
      <c r="E36" s="43" t="s">
        <v>199</v>
      </c>
      <c r="F36" s="74"/>
    </row>
    <row r="37" spans="1:6" s="29" customFormat="1" ht="15" customHeight="1" x14ac:dyDescent="0.2">
      <c r="A37" s="42" t="s">
        <v>62</v>
      </c>
      <c r="B37" s="42" t="s">
        <v>63</v>
      </c>
      <c r="C37" s="90">
        <v>523678</v>
      </c>
      <c r="D37" s="90">
        <v>522571</v>
      </c>
      <c r="E37" s="43">
        <v>1107</v>
      </c>
      <c r="F37" s="74"/>
    </row>
    <row r="38" spans="1:6" s="29" customFormat="1" ht="15" customHeight="1" x14ac:dyDescent="0.2">
      <c r="A38" s="42" t="s">
        <v>64</v>
      </c>
      <c r="B38" s="46" t="s">
        <v>65</v>
      </c>
      <c r="C38" s="90">
        <v>645833</v>
      </c>
      <c r="D38" s="90">
        <v>645833</v>
      </c>
      <c r="E38" s="43" t="s">
        <v>199</v>
      </c>
      <c r="F38" s="74"/>
    </row>
    <row r="39" spans="1:6" s="29" customFormat="1" ht="15" customHeight="1" x14ac:dyDescent="0.2">
      <c r="A39" s="42" t="s">
        <v>66</v>
      </c>
      <c r="B39" s="42" t="s">
        <v>67</v>
      </c>
      <c r="C39" s="90">
        <v>384646</v>
      </c>
      <c r="D39" s="90">
        <v>363643</v>
      </c>
      <c r="E39" s="43">
        <v>21003</v>
      </c>
      <c r="F39" s="74"/>
    </row>
    <row r="40" spans="1:6" s="29" customFormat="1" ht="15" customHeight="1" x14ac:dyDescent="0.2">
      <c r="A40" s="42" t="s">
        <v>68</v>
      </c>
      <c r="B40" s="42" t="s">
        <v>69</v>
      </c>
      <c r="C40" s="90">
        <v>13761</v>
      </c>
      <c r="D40" s="90">
        <v>13761</v>
      </c>
      <c r="E40" s="43" t="s">
        <v>199</v>
      </c>
      <c r="F40" s="74"/>
    </row>
    <row r="41" spans="1:6" s="29" customFormat="1" ht="15" customHeight="1" x14ac:dyDescent="0.2">
      <c r="A41" s="42" t="s">
        <v>70</v>
      </c>
      <c r="B41" s="42" t="s">
        <v>71</v>
      </c>
      <c r="C41" s="90">
        <v>2246</v>
      </c>
      <c r="D41" s="90">
        <v>2246</v>
      </c>
      <c r="E41" s="43" t="s">
        <v>199</v>
      </c>
      <c r="F41" s="74"/>
    </row>
    <row r="42" spans="1:6" s="29" customFormat="1" ht="15" customHeight="1" x14ac:dyDescent="0.2">
      <c r="A42" s="42" t="s">
        <v>72</v>
      </c>
      <c r="B42" s="42" t="s">
        <v>73</v>
      </c>
      <c r="C42" s="90">
        <v>29745</v>
      </c>
      <c r="D42" s="90">
        <v>29745</v>
      </c>
      <c r="E42" s="43" t="s">
        <v>199</v>
      </c>
      <c r="F42" s="74"/>
    </row>
    <row r="43" spans="1:6" s="29" customFormat="1" ht="15" customHeight="1" x14ac:dyDescent="0.2">
      <c r="A43" s="42" t="s">
        <v>74</v>
      </c>
      <c r="B43" s="42" t="s">
        <v>75</v>
      </c>
      <c r="C43" s="90">
        <v>900</v>
      </c>
      <c r="D43" s="90">
        <v>900</v>
      </c>
      <c r="E43" s="43" t="s">
        <v>199</v>
      </c>
      <c r="F43" s="74"/>
    </row>
    <row r="44" spans="1:6" s="29" customFormat="1" ht="15" customHeight="1" x14ac:dyDescent="0.2">
      <c r="A44" s="42" t="s">
        <v>76</v>
      </c>
      <c r="B44" s="42" t="s">
        <v>77</v>
      </c>
      <c r="C44" s="90">
        <v>12823</v>
      </c>
      <c r="D44" s="90">
        <v>12823</v>
      </c>
      <c r="E44" s="43" t="s">
        <v>199</v>
      </c>
      <c r="F44" s="74"/>
    </row>
    <row r="45" spans="1:6" s="29" customFormat="1" ht="15" customHeight="1" x14ac:dyDescent="0.2">
      <c r="A45" s="42" t="s">
        <v>78</v>
      </c>
      <c r="B45" s="42" t="s">
        <v>79</v>
      </c>
      <c r="C45" s="90">
        <v>99295</v>
      </c>
      <c r="D45" s="90">
        <v>99295</v>
      </c>
      <c r="E45" s="43" t="s">
        <v>199</v>
      </c>
      <c r="F45" s="74"/>
    </row>
    <row r="46" spans="1:6" s="29" customFormat="1" ht="15" customHeight="1" x14ac:dyDescent="0.2">
      <c r="A46" s="42" t="s">
        <v>80</v>
      </c>
      <c r="B46" s="42" t="s">
        <v>81</v>
      </c>
      <c r="C46" s="90">
        <v>432516</v>
      </c>
      <c r="D46" s="90">
        <v>432516</v>
      </c>
      <c r="E46" s="43" t="s">
        <v>199</v>
      </c>
      <c r="F46" s="74"/>
    </row>
    <row r="47" spans="1:6" s="29" customFormat="1" ht="15" customHeight="1" x14ac:dyDescent="0.2">
      <c r="A47" s="42" t="s">
        <v>82</v>
      </c>
      <c r="B47" s="42" t="s">
        <v>83</v>
      </c>
      <c r="C47" s="90">
        <v>249093.75</v>
      </c>
      <c r="D47" s="90">
        <v>228648</v>
      </c>
      <c r="E47" s="43">
        <v>20445.75</v>
      </c>
      <c r="F47" s="74"/>
    </row>
    <row r="48" spans="1:6" s="29" customFormat="1" ht="15" customHeight="1" x14ac:dyDescent="0.2">
      <c r="A48" s="42" t="s">
        <v>84</v>
      </c>
      <c r="B48" s="42" t="s">
        <v>85</v>
      </c>
      <c r="C48" s="90">
        <v>1065074</v>
      </c>
      <c r="D48" s="90">
        <v>1065074</v>
      </c>
      <c r="E48" s="43" t="s">
        <v>199</v>
      </c>
      <c r="F48" s="74"/>
    </row>
    <row r="49" spans="1:6" s="29" customFormat="1" ht="15" customHeight="1" x14ac:dyDescent="0.2">
      <c r="A49" s="42" t="s">
        <v>86</v>
      </c>
      <c r="B49" s="42" t="s">
        <v>87</v>
      </c>
      <c r="C49" s="90">
        <v>1416703</v>
      </c>
      <c r="D49" s="90">
        <v>1416703</v>
      </c>
      <c r="E49" s="43" t="s">
        <v>199</v>
      </c>
      <c r="F49" s="74"/>
    </row>
    <row r="50" spans="1:6" s="29" customFormat="1" ht="15" customHeight="1" x14ac:dyDescent="0.2">
      <c r="A50" s="42" t="s">
        <v>88</v>
      </c>
      <c r="B50" s="42" t="s">
        <v>89</v>
      </c>
      <c r="C50" s="90">
        <v>593783</v>
      </c>
      <c r="D50" s="90">
        <v>593783</v>
      </c>
      <c r="E50" s="43" t="s">
        <v>199</v>
      </c>
      <c r="F50" s="74"/>
    </row>
    <row r="51" spans="1:6" s="29" customFormat="1" ht="15" customHeight="1" x14ac:dyDescent="0.2">
      <c r="A51" s="42" t="s">
        <v>90</v>
      </c>
      <c r="B51" s="42" t="s">
        <v>91</v>
      </c>
      <c r="C51" s="90">
        <v>4381522</v>
      </c>
      <c r="D51" s="90">
        <v>4381522</v>
      </c>
      <c r="E51" s="43" t="s">
        <v>199</v>
      </c>
      <c r="F51" s="74"/>
    </row>
    <row r="52" spans="1:6" s="29" customFormat="1" ht="15" customHeight="1" x14ac:dyDescent="0.2">
      <c r="A52" s="42" t="s">
        <v>92</v>
      </c>
      <c r="B52" s="42" t="s">
        <v>93</v>
      </c>
      <c r="C52" s="90">
        <v>505141</v>
      </c>
      <c r="D52" s="90">
        <v>505141</v>
      </c>
      <c r="E52" s="43" t="s">
        <v>199</v>
      </c>
      <c r="F52" s="74"/>
    </row>
    <row r="53" spans="1:6" s="29" customFormat="1" ht="15" customHeight="1" x14ac:dyDescent="0.2">
      <c r="A53" s="42" t="s">
        <v>94</v>
      </c>
      <c r="B53" s="42" t="s">
        <v>95</v>
      </c>
      <c r="C53" s="90">
        <v>1452493</v>
      </c>
      <c r="D53" s="90">
        <v>1452493</v>
      </c>
      <c r="E53" s="43" t="s">
        <v>199</v>
      </c>
      <c r="F53" s="74"/>
    </row>
    <row r="54" spans="1:6" s="29" customFormat="1" ht="15" customHeight="1" x14ac:dyDescent="0.2">
      <c r="A54" s="42" t="s">
        <v>96</v>
      </c>
      <c r="B54" s="42" t="s">
        <v>97</v>
      </c>
      <c r="C54" s="90">
        <v>1224993</v>
      </c>
      <c r="D54" s="90">
        <v>1224993</v>
      </c>
      <c r="E54" s="43" t="s">
        <v>199</v>
      </c>
      <c r="F54" s="74"/>
    </row>
    <row r="55" spans="1:6" s="29" customFormat="1" ht="15" customHeight="1" x14ac:dyDescent="0.2">
      <c r="A55" s="42" t="s">
        <v>98</v>
      </c>
      <c r="B55" s="42" t="s">
        <v>99</v>
      </c>
      <c r="C55" s="90">
        <v>773369</v>
      </c>
      <c r="D55" s="90">
        <v>773369</v>
      </c>
      <c r="E55" s="43" t="s">
        <v>199</v>
      </c>
      <c r="F55" s="74"/>
    </row>
    <row r="56" spans="1:6" s="29" customFormat="1" ht="15" customHeight="1" x14ac:dyDescent="0.2">
      <c r="A56" s="42" t="s">
        <v>100</v>
      </c>
      <c r="B56" s="42" t="s">
        <v>101</v>
      </c>
      <c r="C56" s="90">
        <v>666745</v>
      </c>
      <c r="D56" s="90">
        <v>666745</v>
      </c>
      <c r="E56" s="43" t="s">
        <v>199</v>
      </c>
      <c r="F56" s="74"/>
    </row>
    <row r="57" spans="1:6" s="29" customFormat="1" ht="15" customHeight="1" x14ac:dyDescent="0.2">
      <c r="A57" s="42" t="s">
        <v>102</v>
      </c>
      <c r="B57" s="42" t="s">
        <v>103</v>
      </c>
      <c r="C57" s="90">
        <v>389908</v>
      </c>
      <c r="D57" s="90">
        <v>389908</v>
      </c>
      <c r="E57" s="43" t="s">
        <v>199</v>
      </c>
      <c r="F57" s="74"/>
    </row>
    <row r="58" spans="1:6" s="29" customFormat="1" ht="15" customHeight="1" x14ac:dyDescent="0.2">
      <c r="A58" s="42" t="s">
        <v>104</v>
      </c>
      <c r="B58" s="42" t="s">
        <v>105</v>
      </c>
      <c r="C58" s="90">
        <v>865886</v>
      </c>
      <c r="D58" s="90">
        <v>865886</v>
      </c>
      <c r="E58" s="43" t="s">
        <v>199</v>
      </c>
      <c r="F58" s="74"/>
    </row>
    <row r="59" spans="1:6" s="29" customFormat="1" ht="15" customHeight="1" x14ac:dyDescent="0.2">
      <c r="A59" s="42" t="s">
        <v>106</v>
      </c>
      <c r="B59" s="42" t="s">
        <v>107</v>
      </c>
      <c r="C59" s="90">
        <v>867278</v>
      </c>
      <c r="D59" s="90">
        <v>867278</v>
      </c>
      <c r="E59" s="43" t="s">
        <v>199</v>
      </c>
      <c r="F59" s="74"/>
    </row>
    <row r="60" spans="1:6" s="29" customFormat="1" ht="15" customHeight="1" x14ac:dyDescent="0.2">
      <c r="A60" s="42" t="s">
        <v>108</v>
      </c>
      <c r="B60" s="42" t="s">
        <v>109</v>
      </c>
      <c r="C60" s="90">
        <v>1068523</v>
      </c>
      <c r="D60" s="90">
        <v>1068523</v>
      </c>
      <c r="E60" s="43" t="s">
        <v>199</v>
      </c>
      <c r="F60" s="74"/>
    </row>
    <row r="61" spans="1:6" s="29" customFormat="1" ht="15" customHeight="1" x14ac:dyDescent="0.2">
      <c r="A61" s="42" t="s">
        <v>110</v>
      </c>
      <c r="B61" s="42" t="s">
        <v>111</v>
      </c>
      <c r="C61" s="90">
        <v>513066</v>
      </c>
      <c r="D61" s="90">
        <v>513066</v>
      </c>
      <c r="E61" s="43" t="s">
        <v>199</v>
      </c>
      <c r="F61" s="74"/>
    </row>
    <row r="62" spans="1:6" s="29" customFormat="1" ht="15" customHeight="1" x14ac:dyDescent="0.2">
      <c r="A62" s="42" t="s">
        <v>112</v>
      </c>
      <c r="B62" s="42" t="s">
        <v>113</v>
      </c>
      <c r="C62" s="90">
        <v>1308139</v>
      </c>
      <c r="D62" s="90">
        <v>1308139</v>
      </c>
      <c r="E62" s="43" t="s">
        <v>199</v>
      </c>
      <c r="F62" s="74"/>
    </row>
    <row r="63" spans="1:6" s="29" customFormat="1" ht="15" customHeight="1" x14ac:dyDescent="0.2">
      <c r="A63" s="42" t="s">
        <v>114</v>
      </c>
      <c r="B63" s="42" t="s">
        <v>115</v>
      </c>
      <c r="C63" s="90">
        <v>555852</v>
      </c>
      <c r="D63" s="90">
        <v>555852</v>
      </c>
      <c r="E63" s="43" t="s">
        <v>199</v>
      </c>
      <c r="F63" s="74"/>
    </row>
    <row r="64" spans="1:6" s="29" customFormat="1" ht="15" customHeight="1" x14ac:dyDescent="0.2">
      <c r="A64" s="42" t="s">
        <v>116</v>
      </c>
      <c r="B64" s="42" t="s">
        <v>117</v>
      </c>
      <c r="C64" s="90">
        <v>464845</v>
      </c>
      <c r="D64" s="90">
        <v>464845</v>
      </c>
      <c r="E64" s="43" t="s">
        <v>199</v>
      </c>
      <c r="F64" s="74"/>
    </row>
    <row r="65" spans="1:6" s="29" customFormat="1" ht="15" customHeight="1" x14ac:dyDescent="0.2">
      <c r="A65" s="42" t="s">
        <v>118</v>
      </c>
      <c r="B65" s="42" t="s">
        <v>119</v>
      </c>
      <c r="C65" s="90">
        <v>192933</v>
      </c>
      <c r="D65" s="90">
        <v>192933</v>
      </c>
      <c r="E65" s="43" t="s">
        <v>199</v>
      </c>
      <c r="F65" s="74"/>
    </row>
    <row r="66" spans="1:6" s="29" customFormat="1" ht="15" customHeight="1" x14ac:dyDescent="0.2">
      <c r="A66" s="42" t="s">
        <v>120</v>
      </c>
      <c r="B66" s="42" t="s">
        <v>121</v>
      </c>
      <c r="C66" s="90">
        <v>20523</v>
      </c>
      <c r="D66" s="90">
        <v>20523</v>
      </c>
      <c r="E66" s="43" t="s">
        <v>199</v>
      </c>
      <c r="F66" s="74"/>
    </row>
    <row r="67" spans="1:6" s="29" customFormat="1" ht="15" customHeight="1" x14ac:dyDescent="0.2">
      <c r="A67" s="42" t="s">
        <v>122</v>
      </c>
      <c r="B67" s="42" t="s">
        <v>123</v>
      </c>
      <c r="C67" s="90">
        <v>291</v>
      </c>
      <c r="D67" s="90">
        <v>291</v>
      </c>
      <c r="E67" s="43" t="s">
        <v>199</v>
      </c>
      <c r="F67" s="74"/>
    </row>
    <row r="68" spans="1:6" s="29" customFormat="1" ht="15" customHeight="1" x14ac:dyDescent="0.2">
      <c r="A68" s="42" t="s">
        <v>124</v>
      </c>
      <c r="B68" s="42" t="s">
        <v>125</v>
      </c>
      <c r="C68" s="90">
        <v>149840</v>
      </c>
      <c r="D68" s="90">
        <v>149840</v>
      </c>
      <c r="E68" s="43" t="s">
        <v>199</v>
      </c>
      <c r="F68" s="74"/>
    </row>
    <row r="69" spans="1:6" s="29" customFormat="1" ht="15" customHeight="1" x14ac:dyDescent="0.2">
      <c r="A69" s="42" t="s">
        <v>126</v>
      </c>
      <c r="B69" s="42" t="s">
        <v>127</v>
      </c>
      <c r="C69" s="90">
        <v>55</v>
      </c>
      <c r="D69" s="90">
        <v>55</v>
      </c>
      <c r="E69" s="43" t="s">
        <v>199</v>
      </c>
      <c r="F69" s="74"/>
    </row>
    <row r="70" spans="1:6" ht="15" customHeight="1" x14ac:dyDescent="0.2">
      <c r="A70" s="42" t="s">
        <v>128</v>
      </c>
      <c r="B70" s="42" t="s">
        <v>129</v>
      </c>
      <c r="C70" s="90">
        <v>130505</v>
      </c>
      <c r="D70" s="90">
        <v>130505</v>
      </c>
      <c r="E70" s="43" t="s">
        <v>199</v>
      </c>
      <c r="F70" s="74"/>
    </row>
    <row r="71" spans="1:6" ht="15" customHeight="1" x14ac:dyDescent="0.2">
      <c r="A71" s="42" t="s">
        <v>130</v>
      </c>
      <c r="B71" s="42" t="s">
        <v>131</v>
      </c>
      <c r="C71" s="90">
        <v>135844.75</v>
      </c>
      <c r="D71" s="90">
        <v>68533</v>
      </c>
      <c r="E71" s="43">
        <v>67311.75</v>
      </c>
      <c r="F71" s="74"/>
    </row>
    <row r="72" spans="1:6" ht="15" customHeight="1" x14ac:dyDescent="0.2">
      <c r="A72" s="42" t="s">
        <v>132</v>
      </c>
      <c r="B72" s="42" t="s">
        <v>133</v>
      </c>
      <c r="C72" s="90">
        <v>66614</v>
      </c>
      <c r="D72" s="90">
        <v>33719</v>
      </c>
      <c r="E72" s="43">
        <v>32895</v>
      </c>
      <c r="F72" s="74"/>
    </row>
    <row r="73" spans="1:6" ht="15" customHeight="1" x14ac:dyDescent="0.2">
      <c r="A73" s="42" t="s">
        <v>134</v>
      </c>
      <c r="B73" s="42" t="s">
        <v>135</v>
      </c>
      <c r="C73" s="90">
        <v>145939.5</v>
      </c>
      <c r="D73" s="90">
        <v>30921</v>
      </c>
      <c r="E73" s="43">
        <v>115018.5</v>
      </c>
      <c r="F73" s="74"/>
    </row>
    <row r="74" spans="1:6" ht="15" customHeight="1" x14ac:dyDescent="0.2">
      <c r="A74" s="42" t="s">
        <v>136</v>
      </c>
      <c r="B74" s="42" t="s">
        <v>137</v>
      </c>
      <c r="C74" s="90">
        <v>195787.75</v>
      </c>
      <c r="D74" s="90">
        <v>149854</v>
      </c>
      <c r="E74" s="43">
        <v>45933.75</v>
      </c>
      <c r="F74" s="74"/>
    </row>
    <row r="75" spans="1:6" ht="15" customHeight="1" x14ac:dyDescent="0.2">
      <c r="A75" s="42" t="s">
        <v>138</v>
      </c>
      <c r="B75" s="42" t="s">
        <v>139</v>
      </c>
      <c r="C75" s="90">
        <v>3702</v>
      </c>
      <c r="D75" s="90">
        <v>3702</v>
      </c>
      <c r="E75" s="43" t="s">
        <v>199</v>
      </c>
      <c r="F75" s="74"/>
    </row>
    <row r="76" spans="1:6" ht="15" customHeight="1" x14ac:dyDescent="0.2">
      <c r="A76" s="42" t="s">
        <v>140</v>
      </c>
      <c r="B76" s="42" t="s">
        <v>141</v>
      </c>
      <c r="C76" s="90">
        <v>65646</v>
      </c>
      <c r="D76" s="90">
        <v>32094</v>
      </c>
      <c r="E76" s="43">
        <v>33552</v>
      </c>
      <c r="F76" s="74"/>
    </row>
    <row r="77" spans="1:6" ht="15" customHeight="1" x14ac:dyDescent="0.2">
      <c r="A77" s="42" t="s">
        <v>142</v>
      </c>
      <c r="B77" s="42" t="s">
        <v>143</v>
      </c>
      <c r="C77" s="90">
        <v>150491</v>
      </c>
      <c r="D77" s="90">
        <v>103739</v>
      </c>
      <c r="E77" s="43">
        <v>46752</v>
      </c>
      <c r="F77" s="74"/>
    </row>
    <row r="78" spans="1:6" ht="15" customHeight="1" x14ac:dyDescent="0.2">
      <c r="A78" s="42" t="s">
        <v>144</v>
      </c>
      <c r="B78" s="42" t="s">
        <v>145</v>
      </c>
      <c r="C78" s="90">
        <v>88215.75</v>
      </c>
      <c r="D78" s="90">
        <v>26340</v>
      </c>
      <c r="E78" s="43">
        <v>61875.75</v>
      </c>
      <c r="F78" s="74"/>
    </row>
    <row r="79" spans="1:6" ht="15" customHeight="1" x14ac:dyDescent="0.2">
      <c r="A79" s="42" t="s">
        <v>146</v>
      </c>
      <c r="B79" s="42" t="s">
        <v>147</v>
      </c>
      <c r="C79" s="90">
        <v>82361</v>
      </c>
      <c r="D79" s="90">
        <v>82361</v>
      </c>
      <c r="E79" s="43" t="s">
        <v>199</v>
      </c>
      <c r="F79" s="74"/>
    </row>
    <row r="80" spans="1:6" ht="15" customHeight="1" x14ac:dyDescent="0.2">
      <c r="A80" s="42" t="s">
        <v>148</v>
      </c>
      <c r="B80" s="42" t="s">
        <v>149</v>
      </c>
      <c r="C80" s="90">
        <v>71570.5</v>
      </c>
      <c r="D80" s="90">
        <v>38623</v>
      </c>
      <c r="E80" s="43">
        <v>32947.5</v>
      </c>
      <c r="F80" s="74"/>
    </row>
    <row r="81" spans="1:6" ht="15" customHeight="1" x14ac:dyDescent="0.2">
      <c r="A81" s="42" t="s">
        <v>150</v>
      </c>
      <c r="B81" s="42" t="s">
        <v>151</v>
      </c>
      <c r="C81" s="90">
        <v>18489</v>
      </c>
      <c r="D81" s="90">
        <v>18489</v>
      </c>
      <c r="E81" s="43" t="s">
        <v>199</v>
      </c>
      <c r="F81" s="74"/>
    </row>
    <row r="82" spans="1:6" ht="15" customHeight="1" x14ac:dyDescent="0.2">
      <c r="A82" s="42" t="s">
        <v>152</v>
      </c>
      <c r="B82" s="42" t="s">
        <v>153</v>
      </c>
      <c r="C82" s="90">
        <v>10693</v>
      </c>
      <c r="D82" s="90">
        <v>10693</v>
      </c>
      <c r="E82" s="43" t="s">
        <v>199</v>
      </c>
      <c r="F82" s="74"/>
    </row>
    <row r="83" spans="1:6" ht="15" customHeight="1" x14ac:dyDescent="0.2">
      <c r="A83" s="42" t="s">
        <v>154</v>
      </c>
      <c r="B83" s="42" t="s">
        <v>155</v>
      </c>
      <c r="C83" s="90">
        <v>98009</v>
      </c>
      <c r="D83" s="90">
        <v>45008</v>
      </c>
      <c r="E83" s="43">
        <v>53001</v>
      </c>
      <c r="F83" s="74"/>
    </row>
    <row r="84" spans="1:6" ht="15" customHeight="1" x14ac:dyDescent="0.2">
      <c r="A84" s="42" t="s">
        <v>156</v>
      </c>
      <c r="B84" s="42" t="s">
        <v>157</v>
      </c>
      <c r="C84" s="90">
        <v>54750</v>
      </c>
      <c r="D84" s="90">
        <v>13797</v>
      </c>
      <c r="E84" s="43">
        <v>40953</v>
      </c>
      <c r="F84" s="74"/>
    </row>
    <row r="85" spans="1:6" ht="15" customHeight="1" x14ac:dyDescent="0.2">
      <c r="A85" s="42" t="s">
        <v>158</v>
      </c>
      <c r="B85" s="42" t="s">
        <v>159</v>
      </c>
      <c r="C85" s="90">
        <v>53936.75</v>
      </c>
      <c r="D85" s="90">
        <v>22307</v>
      </c>
      <c r="E85" s="43">
        <v>31629.75</v>
      </c>
      <c r="F85" s="74"/>
    </row>
    <row r="86" spans="1:6" ht="15" customHeight="1" x14ac:dyDescent="0.2">
      <c r="A86" s="42" t="s">
        <v>160</v>
      </c>
      <c r="B86" s="42" t="s">
        <v>161</v>
      </c>
      <c r="C86" s="90">
        <v>225858</v>
      </c>
      <c r="D86" s="90">
        <v>56406</v>
      </c>
      <c r="E86" s="43">
        <v>169452</v>
      </c>
      <c r="F86" s="74"/>
    </row>
    <row r="87" spans="1:6" ht="15" customHeight="1" thickBot="1" x14ac:dyDescent="0.25">
      <c r="A87" s="48" t="s">
        <v>162</v>
      </c>
      <c r="B87" s="48" t="s">
        <v>163</v>
      </c>
      <c r="C87" s="91">
        <v>113292</v>
      </c>
      <c r="D87" s="91">
        <v>27114</v>
      </c>
      <c r="E87" s="49">
        <v>86178</v>
      </c>
      <c r="F87" s="75"/>
    </row>
    <row r="88" spans="1:6" ht="12.75" customHeight="1" x14ac:dyDescent="0.2">
      <c r="A88" s="76" t="s">
        <v>190</v>
      </c>
      <c r="B88" s="77"/>
      <c r="C88" s="78"/>
      <c r="D88" s="79" t="s">
        <v>191</v>
      </c>
      <c r="E88" s="79"/>
    </row>
    <row r="89" spans="1:6" ht="9.75" customHeight="1" x14ac:dyDescent="0.2">
      <c r="A89" s="80" t="s">
        <v>184</v>
      </c>
      <c r="B89" s="81"/>
      <c r="C89" s="82"/>
      <c r="D89" s="83" t="s">
        <v>185</v>
      </c>
      <c r="E89" s="84"/>
    </row>
    <row r="90" spans="1:6" x14ac:dyDescent="0.2">
      <c r="A90" s="56"/>
      <c r="B90" s="57"/>
      <c r="C90" s="57"/>
      <c r="D90" s="62"/>
      <c r="E90" s="62"/>
    </row>
  </sheetData>
  <mergeCells count="2">
    <mergeCell ref="D3:E3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Alan</vt:lpstr>
      <vt:lpstr>Servet</vt:lpstr>
      <vt:lpstr>Cari Artım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2025-09-24T06:49:52Z</dcterms:modified>
</cp:coreProperties>
</file>